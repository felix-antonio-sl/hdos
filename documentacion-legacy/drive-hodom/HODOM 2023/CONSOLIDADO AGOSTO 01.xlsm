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/>
  <mc:AlternateContent xmlns:mc="http://schemas.openxmlformats.org/markup-compatibility/2006">
    <mc:Choice Requires="x15">
      <x15ac:absPath xmlns:x15ac="http://schemas.microsoft.com/office/spreadsheetml/2010/11/ac" url="C:\Users\19071370-9\Downloads\"/>
    </mc:Choice>
  </mc:AlternateContent>
  <xr:revisionPtr revIDLastSave="0" documentId="8_{F6AFA16B-3673-4EBA-967A-BC14282BEB67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ACTIVOS" sheetId="1" r:id="rId1"/>
    <sheet name="HISTORICO" sheetId="2" r:id="rId2"/>
    <sheet name="EGRESOS JUNIO 2023" sheetId="3" r:id="rId3"/>
    <sheet name="EGRESOS JULIO 23" sheetId="4" r:id="rId4"/>
    <sheet name="PCTE ACV H" sheetId="6" r:id="rId5"/>
    <sheet name="NO MODIFICAR" sheetId="5" r:id="rId6"/>
  </sheets>
  <definedNames>
    <definedName name="_xlnm._FilterDatabase" localSheetId="1" hidden="1">HISTORICO!$A$1:$AM$192</definedName>
  </definedNames>
  <calcPr calcId="191029"/>
  <extLst>
    <ext uri="GoogleSheetsCustomDataVersion2">
      <go:sheetsCustomData xmlns:go="http://customooxmlschemas.google.com/" r:id="rId9" roundtripDataChecksum="yugjmmGw3NDO2RMiWDaSPIaIuUVzM6QqzUSFsv20QWo="/>
    </ext>
  </extLst>
</workbook>
</file>

<file path=xl/calcChain.xml><?xml version="1.0" encoding="utf-8"?>
<calcChain xmlns="http://schemas.openxmlformats.org/spreadsheetml/2006/main">
  <c r="D22" i="1" l="1"/>
  <c r="D21" i="1"/>
  <c r="D20" i="1"/>
  <c r="D65" i="2"/>
  <c r="D66" i="2"/>
  <c r="D64" i="2" l="1"/>
  <c r="D38" i="4"/>
  <c r="D63" i="2"/>
  <c r="D19" i="1"/>
  <c r="D37" i="4"/>
  <c r="D46" i="2"/>
  <c r="D36" i="4"/>
  <c r="D35" i="4"/>
  <c r="D54" i="2"/>
  <c r="D31" i="2"/>
  <c r="D18" i="1"/>
  <c r="D62" i="2"/>
  <c r="D32" i="4"/>
  <c r="D35" i="2"/>
  <c r="D17" i="1"/>
  <c r="D61" i="2"/>
  <c r="D2" i="6"/>
  <c r="D1" i="6"/>
  <c r="D16" i="1"/>
  <c r="D60" i="2"/>
  <c r="D43" i="2"/>
  <c r="D42" i="2"/>
  <c r="D33" i="2"/>
  <c r="D34" i="2"/>
  <c r="D32" i="2"/>
  <c r="D27" i="2"/>
  <c r="D28" i="2"/>
  <c r="D29" i="2"/>
  <c r="D30" i="2"/>
  <c r="D26" i="2"/>
  <c r="D20" i="2"/>
  <c r="D21" i="2"/>
  <c r="D22" i="2"/>
  <c r="D23" i="2"/>
  <c r="D24" i="2"/>
  <c r="D19" i="2"/>
  <c r="D10" i="2"/>
  <c r="D11" i="2"/>
  <c r="D12" i="2"/>
  <c r="D13" i="2"/>
  <c r="D14" i="2"/>
  <c r="D15" i="2"/>
  <c r="D16" i="2"/>
  <c r="D9" i="2"/>
  <c r="D15" i="1"/>
  <c r="D14" i="1"/>
  <c r="D13" i="1"/>
  <c r="D59" i="2"/>
  <c r="D58" i="2"/>
  <c r="D57" i="2"/>
  <c r="D27" i="4"/>
  <c r="D12" i="1"/>
  <c r="D56" i="2"/>
  <c r="D53" i="2"/>
  <c r="D52" i="2"/>
  <c r="D51" i="2"/>
  <c r="D50" i="2"/>
  <c r="D49" i="2"/>
  <c r="D45" i="2"/>
  <c r="D41" i="2"/>
  <c r="D39" i="2"/>
  <c r="D38" i="2"/>
  <c r="D36" i="2"/>
  <c r="D18" i="2"/>
  <c r="D8" i="1"/>
  <c r="D9" i="1"/>
  <c r="D10" i="1"/>
  <c r="D11" i="1"/>
  <c r="D2" i="1"/>
  <c r="D3" i="1"/>
  <c r="D4" i="1"/>
  <c r="D5" i="1"/>
  <c r="D6" i="1"/>
  <c r="D7" i="1"/>
</calcChain>
</file>

<file path=xl/sharedStrings.xml><?xml version="1.0" encoding="utf-8"?>
<sst xmlns="http://schemas.openxmlformats.org/spreadsheetml/2006/main" count="3922" uniqueCount="450">
  <si>
    <t>COMPLETAR PLANILLA EN MAYÚSCULAS, RESPETAR FORMATOS!</t>
  </si>
  <si>
    <t>ESTADO</t>
  </si>
  <si>
    <t>FECHA DE POSTULACIÓN           dd-mm-aaaa</t>
  </si>
  <si>
    <t>DÍAS DE ESTADIA</t>
  </si>
  <si>
    <t>FECHA DE EGRESO</t>
  </si>
  <si>
    <t>NOMBRES</t>
  </si>
  <si>
    <t>APELLIDO PATERNO</t>
  </si>
  <si>
    <t>APELLIDO MATERNO</t>
  </si>
  <si>
    <t>SEXO</t>
  </si>
  <si>
    <t>EDAD</t>
  </si>
  <si>
    <r>
      <rPr>
        <b/>
        <sz val="10"/>
        <color theme="1"/>
        <rFont val="Cambria"/>
        <family val="1"/>
      </rPr>
      <t xml:space="preserve">RUT </t>
    </r>
    <r>
      <rPr>
        <b/>
        <sz val="5"/>
        <color theme="1"/>
        <rFont val="Cambria"/>
        <family val="1"/>
      </rPr>
      <t>(SIN PUNTO, CON DIGITO)</t>
    </r>
  </si>
  <si>
    <t>I. DE BARTHEL</t>
  </si>
  <si>
    <t>PREVISIÓN</t>
  </si>
  <si>
    <t>FECHA DE NACIMIENTO (dd-mm-aaaa)</t>
  </si>
  <si>
    <t>NRO. FICHA</t>
  </si>
  <si>
    <t>SERVICIO DE ORIGEN</t>
  </si>
  <si>
    <t>DIAGNÓSTICO DE EGRESO HOSPITALIZACIÓN</t>
  </si>
  <si>
    <t>DOMICILIO</t>
  </si>
  <si>
    <t>NRO DE CASA</t>
  </si>
  <si>
    <t>COMUNA</t>
  </si>
  <si>
    <t>URBANO/RURAL</t>
  </si>
  <si>
    <t>NRO. DE CONTACTO</t>
  </si>
  <si>
    <t>NACIONALIDAD</t>
  </si>
  <si>
    <t>TTO EV</t>
  </si>
  <si>
    <t>TTO SC</t>
  </si>
  <si>
    <t>TTO IM</t>
  </si>
  <si>
    <t>CURACIONES</t>
  </si>
  <si>
    <t>TOMA DE MUESTRAS</t>
  </si>
  <si>
    <t>MANEJO DE OSTOMIAS</t>
  </si>
  <si>
    <t>ELEMENTOS INVASIVOS</t>
  </si>
  <si>
    <t>CSV</t>
  </si>
  <si>
    <t xml:space="preserve">EDUCACIÓN </t>
  </si>
  <si>
    <t>MÉDICO</t>
  </si>
  <si>
    <t>KNT</t>
  </si>
  <si>
    <t>FONO</t>
  </si>
  <si>
    <t>T. SOCIAL</t>
  </si>
  <si>
    <t>MOTIVO DE EGRESO</t>
  </si>
  <si>
    <t>MOTIVO DERIVACIÓN</t>
  </si>
  <si>
    <t>ACTIVO</t>
  </si>
  <si>
    <t>MARIA VIOLETA</t>
  </si>
  <si>
    <t>FLORES</t>
  </si>
  <si>
    <t>VILAZA</t>
  </si>
  <si>
    <t>F</t>
  </si>
  <si>
    <t>4493344-6</t>
  </si>
  <si>
    <t>FONASA</t>
  </si>
  <si>
    <t>TMT</t>
  </si>
  <si>
    <t>FRACTURA DE FÉMUR</t>
  </si>
  <si>
    <t xml:space="preserve">EL ROBLE </t>
  </si>
  <si>
    <t>SAN CARLOS</t>
  </si>
  <si>
    <t>URBANO</t>
  </si>
  <si>
    <t>CHILENO</t>
  </si>
  <si>
    <t>N/A</t>
  </si>
  <si>
    <t>C/24</t>
  </si>
  <si>
    <t>AVANZADAS</t>
  </si>
  <si>
    <t>SI</t>
  </si>
  <si>
    <t xml:space="preserve">MOTORA </t>
  </si>
  <si>
    <t xml:space="preserve">MANUEL </t>
  </si>
  <si>
    <t xml:space="preserve">MELLA </t>
  </si>
  <si>
    <t xml:space="preserve">ESCAMILLA </t>
  </si>
  <si>
    <t>M</t>
  </si>
  <si>
    <t>4931049-8</t>
  </si>
  <si>
    <t>CIRUGIA</t>
  </si>
  <si>
    <t>TUMOR MALIGNO DEL LABIO</t>
  </si>
  <si>
    <t xml:space="preserve">BULI ESTACION BALMACEDA ESQUINA CARRERA </t>
  </si>
  <si>
    <t>S/N</t>
  </si>
  <si>
    <t xml:space="preserve">SAN CARLOS </t>
  </si>
  <si>
    <t>RURAL</t>
  </si>
  <si>
    <t xml:space="preserve">CHILENO </t>
  </si>
  <si>
    <t>CIRO</t>
  </si>
  <si>
    <t>PARADA</t>
  </si>
  <si>
    <t>LABRÍN</t>
  </si>
  <si>
    <t>6511085-7</t>
  </si>
  <si>
    <t>D. TOTAL</t>
  </si>
  <si>
    <t>UE</t>
  </si>
  <si>
    <t>INFECCIÓN VÍAS URINARIAS</t>
  </si>
  <si>
    <t>EL SAUCE KM 10,300</t>
  </si>
  <si>
    <t>NO</t>
  </si>
  <si>
    <t xml:space="preserve">YOBERLY </t>
  </si>
  <si>
    <t>FIGUEROA</t>
  </si>
  <si>
    <t>CONTRERAS</t>
  </si>
  <si>
    <t>20111999-5</t>
  </si>
  <si>
    <t>D. SEVERA</t>
  </si>
  <si>
    <t>ABSCESO GLÚTEO</t>
  </si>
  <si>
    <t>MALAGA CACERES 2, BLOCK C DPTO 23</t>
  </si>
  <si>
    <t>CHILEN A</t>
  </si>
  <si>
    <t>LUIS</t>
  </si>
  <si>
    <t>VALLADARES</t>
  </si>
  <si>
    <t xml:space="preserve">LÓPEZ </t>
  </si>
  <si>
    <t>6807796-6</t>
  </si>
  <si>
    <t>MEDICINA</t>
  </si>
  <si>
    <t>NEUMONIA</t>
  </si>
  <si>
    <t>BRASIL</t>
  </si>
  <si>
    <t>C/12</t>
  </si>
  <si>
    <t>AMBAS</t>
  </si>
  <si>
    <t xml:space="preserve">RAMÓN </t>
  </si>
  <si>
    <t>SOTO</t>
  </si>
  <si>
    <t>ROSALES</t>
  </si>
  <si>
    <t>15160433-1</t>
  </si>
  <si>
    <t>LESIONES EN EL MUSLO</t>
  </si>
  <si>
    <t xml:space="preserve">LAS ROSAS </t>
  </si>
  <si>
    <t>ÑIQUÉN</t>
  </si>
  <si>
    <t>MARGARITA</t>
  </si>
  <si>
    <t>GUERRERO</t>
  </si>
  <si>
    <t>SAN MARTÍN</t>
  </si>
  <si>
    <t>4383154-2</t>
  </si>
  <si>
    <t>KM 5 DESDE SAN GREGORIO ( LADO DEL CIRCO)</t>
  </si>
  <si>
    <t>COLVINDO</t>
  </si>
  <si>
    <t>CVP</t>
  </si>
  <si>
    <t>RESPIRATORIA</t>
  </si>
  <si>
    <t xml:space="preserve">LUIS </t>
  </si>
  <si>
    <t>PILCANTE</t>
  </si>
  <si>
    <t>SEGURA</t>
  </si>
  <si>
    <t>10279533-4</t>
  </si>
  <si>
    <t>SECTOR MONTEBLANCO</t>
  </si>
  <si>
    <t>SIMPLE</t>
  </si>
  <si>
    <t>EMELINA</t>
  </si>
  <si>
    <t>MEDEL</t>
  </si>
  <si>
    <t>MÚÑOZ</t>
  </si>
  <si>
    <t>8935418-8</t>
  </si>
  <si>
    <t>HERIDA DE PARED ABDOMINAL</t>
  </si>
  <si>
    <t xml:space="preserve">SECTOR TRES ESQUINAS, CAMINO A RIVERA </t>
  </si>
  <si>
    <t>PEDRO</t>
  </si>
  <si>
    <t>BRIONES</t>
  </si>
  <si>
    <t>MELLADO</t>
  </si>
  <si>
    <t>3430598-6</t>
  </si>
  <si>
    <t xml:space="preserve">	202300152018</t>
  </si>
  <si>
    <t xml:space="preserve">INSUFICIENCIA RESPIRATORIA </t>
  </si>
  <si>
    <t>CACHAPOAL SECTOR LAS ROSAS</t>
  </si>
  <si>
    <t>EVARISTA</t>
  </si>
  <si>
    <t>APARICIO</t>
  </si>
  <si>
    <t>CARO</t>
  </si>
  <si>
    <t>5708494-4</t>
  </si>
  <si>
    <t>ACCIDENTE VASCULAR ENCEFÁLICO HEMORRÁGICO</t>
  </si>
  <si>
    <t>SECTOR TRES ESQUINAS, CAMINO LA RIBERA</t>
  </si>
  <si>
    <t xml:space="preserve">DOMINGO SEBASTIAN </t>
  </si>
  <si>
    <t>RUBIO</t>
  </si>
  <si>
    <t>6177642-7</t>
  </si>
  <si>
    <t xml:space="preserve">CAMINO IANSA, POBLACIÓN NUEVA PRIMAVERA PJE. FRANCISCO SUAZO </t>
  </si>
  <si>
    <t>MERCEDES</t>
  </si>
  <si>
    <t xml:space="preserve">ZAPATA </t>
  </si>
  <si>
    <t>TORRES</t>
  </si>
  <si>
    <t>4617349-K</t>
  </si>
  <si>
    <t>FONASA B</t>
  </si>
  <si>
    <t>EL ROBLE</t>
  </si>
  <si>
    <t>MARIO</t>
  </si>
  <si>
    <t>FAUNDEZ</t>
  </si>
  <si>
    <t>8021103-1</t>
  </si>
  <si>
    <t>HEMORRAGIA INTRACEREBRAL</t>
  </si>
  <si>
    <t>VILLA PORTAL DEL SUR 2, VICENTE BIANCHI</t>
  </si>
  <si>
    <t xml:space="preserve">ORTEGA </t>
  </si>
  <si>
    <t>NAVARRETE</t>
  </si>
  <si>
    <t>6410210-9</t>
  </si>
  <si>
    <t>ÚLCERA POR PRESIÓN GLÚTEA IZQUIERDA INFECTADA</t>
  </si>
  <si>
    <t>LENGA</t>
  </si>
  <si>
    <t xml:space="preserve">ALEJANDRO </t>
  </si>
  <si>
    <t>SEPÚLVEDA</t>
  </si>
  <si>
    <t>VERA</t>
  </si>
  <si>
    <t>4972435-7</t>
  </si>
  <si>
    <t>LLAHUIMÁVIDA KM 1,5</t>
  </si>
  <si>
    <t>VICTORIA</t>
  </si>
  <si>
    <t>MENDEZ</t>
  </si>
  <si>
    <t>5673052-4</t>
  </si>
  <si>
    <t>CELULITIS</t>
  </si>
  <si>
    <t xml:space="preserve">CHACABUCO </t>
  </si>
  <si>
    <t xml:space="preserve">FREDY </t>
  </si>
  <si>
    <t>CEBALLOS</t>
  </si>
  <si>
    <t>FERRADA</t>
  </si>
  <si>
    <t>7760943-1</t>
  </si>
  <si>
    <t>ESTENOSIS AÓRTICA</t>
  </si>
  <si>
    <t>CAMINO SAN AGUSTIN</t>
  </si>
  <si>
    <t>TIPO DE PRESTACIÓN SOLICITADA</t>
  </si>
  <si>
    <r>
      <rPr>
        <b/>
        <sz val="10"/>
        <color theme="1"/>
        <rFont val="Cambria"/>
        <family val="1"/>
      </rPr>
      <t xml:space="preserve">RUT </t>
    </r>
    <r>
      <rPr>
        <b/>
        <sz val="5"/>
        <color theme="1"/>
        <rFont val="Cambria"/>
        <family val="1"/>
      </rPr>
      <t>(SIN PUNTO, CON DIGITO)</t>
    </r>
  </si>
  <si>
    <t>EGRESADO</t>
  </si>
  <si>
    <t>FONASA A</t>
  </si>
  <si>
    <t xml:space="preserve">LESIÓN DE MUSLO </t>
  </si>
  <si>
    <t>TRASLADO UE</t>
  </si>
  <si>
    <t xml:space="preserve">USUARIO DERIVADO DESDE CAE POR INTENTO AUTOLÍTICO. QUEDA HOSPITALIZADO. </t>
  </si>
  <si>
    <t>FONASA C</t>
  </si>
  <si>
    <t>S. NASOGÁSTRICA</t>
  </si>
  <si>
    <t xml:space="preserve">USUARIO CON DESCOMPENSACIÓN DE PATOLOGÍAS DE BASE. EVALUADO POR DRA. CORREA 26-06-23. </t>
  </si>
  <si>
    <t xml:space="preserve">ENADINA </t>
  </si>
  <si>
    <t>CANDIA</t>
  </si>
  <si>
    <t>ACUÑA</t>
  </si>
  <si>
    <t>6258491-2</t>
  </si>
  <si>
    <t>11 DE SEPTIEMBRE</t>
  </si>
  <si>
    <t xml:space="preserve">ALTA </t>
  </si>
  <si>
    <t xml:space="preserve">ALTA MÉDICA POR EQUIPO HODOM. </t>
  </si>
  <si>
    <t>JOSÉ</t>
  </si>
  <si>
    <t>FUENTES</t>
  </si>
  <si>
    <t>PALMA</t>
  </si>
  <si>
    <t>6454657-0</t>
  </si>
  <si>
    <t>CAMINO A TORRECILLAS</t>
  </si>
  <si>
    <t>SAN NICOLAS</t>
  </si>
  <si>
    <t>S. FOLEY</t>
  </si>
  <si>
    <t>MARIA RAQUEL</t>
  </si>
  <si>
    <t>VASQUEZ</t>
  </si>
  <si>
    <t>RODRIGUEZ</t>
  </si>
  <si>
    <t>4492836-1</t>
  </si>
  <si>
    <t>EL PEUMO</t>
  </si>
  <si>
    <t>NELLY DEL CARMEN</t>
  </si>
  <si>
    <t>OCARES</t>
  </si>
  <si>
    <t>ROMERO</t>
  </si>
  <si>
    <t>7336900-2</t>
  </si>
  <si>
    <t>JORGE MONTES</t>
  </si>
  <si>
    <t>USUARIA EN REG, TRASLADADA POR SAMU</t>
  </si>
  <si>
    <t>FLORENCIO ENRIQUE</t>
  </si>
  <si>
    <t>ALBARRAN</t>
  </si>
  <si>
    <t>MUÑOZ</t>
  </si>
  <si>
    <t>9557240-5</t>
  </si>
  <si>
    <t>DISCOAGULOPATÍA</t>
  </si>
  <si>
    <t>VILLA NUEVA VIDA, PSJE LAS NUBES</t>
  </si>
  <si>
    <t>BENAVIDES</t>
  </si>
  <si>
    <t>6807897-0</t>
  </si>
  <si>
    <t>PIE DIABÉTICO</t>
  </si>
  <si>
    <t>VIRGUIN</t>
  </si>
  <si>
    <t xml:space="preserve">MARIA ESTER </t>
  </si>
  <si>
    <t>CRISOSTOMO</t>
  </si>
  <si>
    <t>6836020-K</t>
  </si>
  <si>
    <t xml:space="preserve">PUELMA </t>
  </si>
  <si>
    <t xml:space="preserve">ALTA MÉDICA POR MEDICINA Y KINESIOLOGÍA. </t>
  </si>
  <si>
    <t>NELLY CLEMENTINA</t>
  </si>
  <si>
    <t xml:space="preserve">ESPINOZA </t>
  </si>
  <si>
    <t>ZAPATA</t>
  </si>
  <si>
    <t>6470081-2</t>
  </si>
  <si>
    <t>INSUFICIENCIA CARDIACA CONGESTIVA</t>
  </si>
  <si>
    <t>TIUQUILEMU</t>
  </si>
  <si>
    <t xml:space="preserve">SE DECIDE ALTA MÉDICA POR BUENA ADHERENCIA A TRATAMIENTO. </t>
  </si>
  <si>
    <t>MARGARITA DEL CARMEN</t>
  </si>
  <si>
    <t>SALINAS</t>
  </si>
  <si>
    <t>4314099-K</t>
  </si>
  <si>
    <t>GASTROPATÍA EROSIVA</t>
  </si>
  <si>
    <t>ALTA MÉDICA Y FONOAUDIOLÓGICA</t>
  </si>
  <si>
    <t>LUCRECIA DEL CARMEN</t>
  </si>
  <si>
    <t>SAN MARTIN</t>
  </si>
  <si>
    <t xml:space="preserve"> 3261708-5</t>
  </si>
  <si>
    <t>BRONQUITIS AGUDA</t>
  </si>
  <si>
    <t>PABELLON 3, CASA 2</t>
  </si>
  <si>
    <t xml:space="preserve">ALTA MÉDICA Y KINÉSICA. </t>
  </si>
  <si>
    <t xml:space="preserve">VICTOR MANUEL </t>
  </si>
  <si>
    <t xml:space="preserve">SANDOVAL </t>
  </si>
  <si>
    <t>11770827-6</t>
  </si>
  <si>
    <t>CALLE NORA PEREIRA, RUTA 5</t>
  </si>
  <si>
    <t xml:space="preserve">PEDRO PABLO </t>
  </si>
  <si>
    <t xml:space="preserve">ORELLANA </t>
  </si>
  <si>
    <t>6034959-2</t>
  </si>
  <si>
    <t xml:space="preserve">INDEPENDENCIA </t>
  </si>
  <si>
    <t xml:space="preserve">SERGIO </t>
  </si>
  <si>
    <t>SALDAÑA</t>
  </si>
  <si>
    <t>GONZÁLEZ</t>
  </si>
  <si>
    <t>7590864-4</t>
  </si>
  <si>
    <t>CHACAY BAJO</t>
  </si>
  <si>
    <t xml:space="preserve">ELIANA </t>
  </si>
  <si>
    <t xml:space="preserve">MARTINEZ </t>
  </si>
  <si>
    <t>7643783-1</t>
  </si>
  <si>
    <t xml:space="preserve">BRASIL </t>
  </si>
  <si>
    <t>ALTA MÉDICA POR EQUIPO HODOM.</t>
  </si>
  <si>
    <t xml:space="preserve">ROSALBA </t>
  </si>
  <si>
    <t xml:space="preserve">VILLALOBOS </t>
  </si>
  <si>
    <t>7392487-1</t>
  </si>
  <si>
    <t>UTI</t>
  </si>
  <si>
    <t>INSUFICIENCIA RESPIRATORIA AGUDA</t>
  </si>
  <si>
    <t xml:space="preserve">SAN CAMILO KM 7 </t>
  </si>
  <si>
    <t xml:space="preserve">KM 7 </t>
  </si>
  <si>
    <t>ANTHONY</t>
  </si>
  <si>
    <t xml:space="preserve">CARRIMAN </t>
  </si>
  <si>
    <t>21590142-4</t>
  </si>
  <si>
    <t>FIEBRE</t>
  </si>
  <si>
    <t xml:space="preserve">POBLACION 11 DE SEPTIEMBRE CALLE LAS PERDICES </t>
  </si>
  <si>
    <t xml:space="preserve">PEDRO </t>
  </si>
  <si>
    <t xml:space="preserve">VELASQUÉZ </t>
  </si>
  <si>
    <t>9592566-9</t>
  </si>
  <si>
    <t>PRAIS</t>
  </si>
  <si>
    <t>HEMOTÓRAX</t>
  </si>
  <si>
    <t xml:space="preserve">SECTOR EL QUILMEN, CAMINO TORRECILLAS KM 6 </t>
  </si>
  <si>
    <t xml:space="preserve">S//N </t>
  </si>
  <si>
    <t>TRASLADO A OTRO CENTRO</t>
  </si>
  <si>
    <t>USUARIO CON RESOLUCIÓN EN HGGB.</t>
  </si>
  <si>
    <t xml:space="preserve">JEANNETTE </t>
  </si>
  <si>
    <t xml:space="preserve">SEPULVEDA </t>
  </si>
  <si>
    <t xml:space="preserve">ALARCÓN </t>
  </si>
  <si>
    <t>14304265-0</t>
  </si>
  <si>
    <t>TUMOR MALIGNO DEL HIGADO</t>
  </si>
  <si>
    <t xml:space="preserve">POBLACION 11 DE SEPTIEMBRE , LENGA , ESQUINA LOS NOTROS </t>
  </si>
  <si>
    <t>CARLOS</t>
  </si>
  <si>
    <t>FERNANDEZ</t>
  </si>
  <si>
    <t xml:space="preserve">PLAZA </t>
  </si>
  <si>
    <t>5421597-5</t>
  </si>
  <si>
    <t>INFARTO CEREBRAL</t>
  </si>
  <si>
    <t xml:space="preserve">BULLI ORIENTE S/N </t>
  </si>
  <si>
    <t>ALTA POR FONOAUDIOLOGÍA.</t>
  </si>
  <si>
    <t xml:space="preserve">JUAN </t>
  </si>
  <si>
    <t xml:space="preserve">ZUÑIGA </t>
  </si>
  <si>
    <t>7409901-7</t>
  </si>
  <si>
    <t>INDEPENDIENTE</t>
  </si>
  <si>
    <t>PROSTATITIS AGUDA</t>
  </si>
  <si>
    <t>POBLACIÓN 11 DE SEPTIEMBRE, EL MANZANO</t>
  </si>
  <si>
    <t xml:space="preserve">MARIA </t>
  </si>
  <si>
    <t>LAGOS</t>
  </si>
  <si>
    <t>4120503-2</t>
  </si>
  <si>
    <t>PASAJE 10, LOS SEPULVEDAS . LAS ARBOLEDAS</t>
  </si>
  <si>
    <t xml:space="preserve">CHILENA </t>
  </si>
  <si>
    <t xml:space="preserve">ROSA </t>
  </si>
  <si>
    <t>GUAJARDO</t>
  </si>
  <si>
    <t>9572677-1</t>
  </si>
  <si>
    <t>UROLITIASIS</t>
  </si>
  <si>
    <t>MANZANAL, QUILELTO</t>
  </si>
  <si>
    <t xml:space="preserve">RAMONA </t>
  </si>
  <si>
    <t>HERMOSILLA</t>
  </si>
  <si>
    <t>PINTO</t>
  </si>
  <si>
    <t>4316013-3</t>
  </si>
  <si>
    <t xml:space="preserve">BULI CASERIO, CALLE </t>
  </si>
  <si>
    <t>FONASA D</t>
  </si>
  <si>
    <t>RAQUEL</t>
  </si>
  <si>
    <t>NECOCHEA</t>
  </si>
  <si>
    <t>URRUTIA</t>
  </si>
  <si>
    <t>9592846-3</t>
  </si>
  <si>
    <t xml:space="preserve">EL MANZAN, ESQUINA LAS PERDICES, POBLACION 11 DE SEPTIEMBRE </t>
  </si>
  <si>
    <t>CHILENA</t>
  </si>
  <si>
    <t>JUAN PABLO</t>
  </si>
  <si>
    <t>LARA</t>
  </si>
  <si>
    <t>17695982-7</t>
  </si>
  <si>
    <t>ENDOCARDITIS</t>
  </si>
  <si>
    <t>GENERAL VENEGAS</t>
  </si>
  <si>
    <t xml:space="preserve">USUARIO REINGRESA A HOSPITALIZACIÓN EN REG. </t>
  </si>
  <si>
    <t>MARIA ISABEL</t>
  </si>
  <si>
    <t>MALDONADO</t>
  </si>
  <si>
    <t>QUIROZ</t>
  </si>
  <si>
    <t>7838670-3</t>
  </si>
  <si>
    <t>LAGOS DE CHILE, TODOS LOS SANTOS</t>
  </si>
  <si>
    <t xml:space="preserve">JUAN FRANCISCO </t>
  </si>
  <si>
    <t>4543316-1</t>
  </si>
  <si>
    <t>EL AVELLANO, POBLACIÓN 11 DE SEPTIEMBRE</t>
  </si>
  <si>
    <t>YOLANDA</t>
  </si>
  <si>
    <t>MOLINA</t>
  </si>
  <si>
    <t>IRRIBARRA</t>
  </si>
  <si>
    <t>3168595-8</t>
  </si>
  <si>
    <t>06-06-1929</t>
  </si>
  <si>
    <t>EL DURAZNO, VILLA NAVIDAD</t>
  </si>
  <si>
    <t>REHOSPITALIZACIÓN 16-07 POR APORTE DE O2.</t>
  </si>
  <si>
    <t>FECHA EGRESO</t>
  </si>
  <si>
    <t>RUT (SIN PUNTO, CON DIGITO)</t>
  </si>
  <si>
    <r>
      <rPr>
        <b/>
        <sz val="10"/>
        <color theme="1"/>
        <rFont val="Cambria"/>
        <family val="1"/>
      </rPr>
      <t xml:space="preserve">RUT </t>
    </r>
    <r>
      <rPr>
        <b/>
        <sz val="5"/>
        <color theme="1"/>
        <rFont val="Cambria"/>
        <family val="1"/>
      </rPr>
      <t>(SIN PUNTO, CON DIGITO)</t>
    </r>
  </si>
  <si>
    <t xml:space="preserve"> </t>
  </si>
  <si>
    <t xml:space="preserve">USUARIO EN REG, SE HOSPITALIZA EN UTI/UCI. </t>
  </si>
  <si>
    <t xml:space="preserve">ALTA POR FONOAUDIÓLOGA. </t>
  </si>
  <si>
    <t xml:space="preserve">SEXO </t>
  </si>
  <si>
    <t>SERVICIOS</t>
  </si>
  <si>
    <t xml:space="preserve">I. DE BARTHEL </t>
  </si>
  <si>
    <t>MOTIVO EGRESO</t>
  </si>
  <si>
    <t>PREVISION</t>
  </si>
  <si>
    <t>SECTORIZACIÓN</t>
  </si>
  <si>
    <t>EV</t>
  </si>
  <si>
    <t>TOMA DE MUESTRA</t>
  </si>
  <si>
    <t>INVASIVOS</t>
  </si>
  <si>
    <t>KINE</t>
  </si>
  <si>
    <t>UHT</t>
  </si>
  <si>
    <t>CMA</t>
  </si>
  <si>
    <t>D. MODERADA</t>
  </si>
  <si>
    <t>RECHAZA</t>
  </si>
  <si>
    <t>S. INTERMITENTE</t>
  </si>
  <si>
    <t>GINE</t>
  </si>
  <si>
    <t>D. LEVE</t>
  </si>
  <si>
    <t>TRASPASO APS</t>
  </si>
  <si>
    <t>FALLECIDO</t>
  </si>
  <si>
    <t>PED</t>
  </si>
  <si>
    <t>UCI</t>
  </si>
  <si>
    <t>INSUFICIENCIA CARDIACA</t>
  </si>
  <si>
    <t>MARIA ELENA</t>
  </si>
  <si>
    <t>LUEIZA</t>
  </si>
  <si>
    <t>ROSA</t>
  </si>
  <si>
    <t>MORAGA</t>
  </si>
  <si>
    <t>8157070-1</t>
  </si>
  <si>
    <t>CAMINO LA RIBERA DE ÑUBLE</t>
  </si>
  <si>
    <t>QUINQUEHUA, CALLEJÓN ORELLANA</t>
  </si>
  <si>
    <t>ALTA MÉDICA Y KINÉSICA POR HODOM.</t>
  </si>
  <si>
    <t>VIÑAS</t>
  </si>
  <si>
    <t>8796695-K</t>
  </si>
  <si>
    <t>JOHN</t>
  </si>
  <si>
    <t>YEVENES</t>
  </si>
  <si>
    <t>21941046-8</t>
  </si>
  <si>
    <t>CHÁVEZ</t>
  </si>
  <si>
    <t>PEÑA</t>
  </si>
  <si>
    <t>MORALES</t>
  </si>
  <si>
    <t xml:space="preserve">5798527-5
</t>
  </si>
  <si>
    <t>2882974-4</t>
  </si>
  <si>
    <t>TROMBOCITOPENIA</t>
  </si>
  <si>
    <t>KM 12 CAMINO SAN FABIÁN SECTOR EL SAUCE</t>
  </si>
  <si>
    <t>NAVOTAVO</t>
  </si>
  <si>
    <t xml:space="preserve">FAMILIAR RECHAZA PROCEDIMENTO, POR LO QUE SE EGRESA DE HODOM (DESICIÓN MÉDICA). </t>
  </si>
  <si>
    <t xml:space="preserve">FRANCISCO </t>
  </si>
  <si>
    <t>PINO</t>
  </si>
  <si>
    <t>SAAVEDRA</t>
  </si>
  <si>
    <t>PATRICIO</t>
  </si>
  <si>
    <t>BAHAMONDES</t>
  </si>
  <si>
    <t>8295217-9</t>
  </si>
  <si>
    <t>11111422-6</t>
  </si>
  <si>
    <t>4847742-9</t>
  </si>
  <si>
    <t>ITU</t>
  </si>
  <si>
    <t>ACV HEMORRÁGICO</t>
  </si>
  <si>
    <t>PORTAL DE LA LUNA CALLE CENTRAL MANZANA NUMERO 1</t>
  </si>
  <si>
    <t>EL CARBÓN</t>
  </si>
  <si>
    <t>CHACAY, LA PITRILLA</t>
  </si>
  <si>
    <t>SAN NICOLÁS</t>
  </si>
  <si>
    <t xml:space="preserve">	2015087455</t>
  </si>
  <si>
    <t xml:space="preserve">CARMEN </t>
  </si>
  <si>
    <t>DAVISON</t>
  </si>
  <si>
    <t xml:space="preserve">VILLA </t>
  </si>
  <si>
    <t>4127535-9</t>
  </si>
  <si>
    <t>HEMORRAGIA GASTROINTESTINAL</t>
  </si>
  <si>
    <t>SECTOR EL TRANQUE DE POMUYETO</t>
  </si>
  <si>
    <t>IC A ENDOSCOPIA, TRAMITADO EN ESPERA DE HORA.</t>
  </si>
  <si>
    <t xml:space="preserve">31-07-23 13:00 HRS. CON NEURÓLOGO CAE HSC. </t>
  </si>
  <si>
    <t>ACCIDENTE VASCULAR ENCEFÁLICO ISQUEMICO</t>
  </si>
  <si>
    <t>ACV ISQUÉMICO</t>
  </si>
  <si>
    <t>ACV ISQÉMICO</t>
  </si>
  <si>
    <t>5181398-7</t>
  </si>
  <si>
    <t xml:space="preserve">FELICIA </t>
  </si>
  <si>
    <t>PALACIOS</t>
  </si>
  <si>
    <t>CÁCERES</t>
  </si>
  <si>
    <t>SEPSIS FOCO ABDOMINAL</t>
  </si>
  <si>
    <t>SAN PEDRO DE LILAHUE</t>
  </si>
  <si>
    <t xml:space="preserve">PCTE. POCO COOPERADOR CON TERAPIA KNT, SE DECIDE ALTA DESDE HODOM. </t>
  </si>
  <si>
    <t>CLELIA</t>
  </si>
  <si>
    <t>POBLETE</t>
  </si>
  <si>
    <t>AGUILERA</t>
  </si>
  <si>
    <t>6298507-0</t>
  </si>
  <si>
    <t>HOGAR SAN PABLO, CALLE DIEGO PORTALES</t>
  </si>
  <si>
    <t>ALTA DE CURACIONES, SE ENTREGA CERTIFICADO PARA CURACIONES EN APS.</t>
  </si>
  <si>
    <t xml:space="preserve">ALTA MÉDICA, CONTINUA CON CONTROLES EH CAE HCHM. </t>
  </si>
  <si>
    <t xml:space="preserve">USUARIO EN UE, EGRESA DE HODOM. </t>
  </si>
  <si>
    <t xml:space="preserve">MORALES </t>
  </si>
  <si>
    <t>ARIAS</t>
  </si>
  <si>
    <t>SÍNDROME DE GUILLIAN-BARRÉ</t>
  </si>
  <si>
    <t>10937159-9</t>
  </si>
  <si>
    <t xml:space="preserve">VILLA LO AROMOS, BOMBERO 2DO, MARTINEZ VASQUEZ </t>
  </si>
  <si>
    <t>MARIA BERNARDITA</t>
  </si>
  <si>
    <t>LUCIA</t>
  </si>
  <si>
    <t xml:space="preserve">SUAZO </t>
  </si>
  <si>
    <t>HERNÁNDEZ</t>
  </si>
  <si>
    <t xml:space="preserve">VIVANCO </t>
  </si>
  <si>
    <t>12117267-4</t>
  </si>
  <si>
    <t>7593625-7</t>
  </si>
  <si>
    <t>4214689-7</t>
  </si>
  <si>
    <t>PIELONEFRITIS AGUDA</t>
  </si>
  <si>
    <t>OSTEOMIELITIS</t>
  </si>
  <si>
    <t>HERIDA DE OTRAS PARTES DEL PIE</t>
  </si>
  <si>
    <t>PJE. CALAFQUEN, LAGOS DE CHILE</t>
  </si>
  <si>
    <t>SAN VICENTE, CHACAY</t>
  </si>
  <si>
    <t>PJE. RIÑIHUE, LAGOS LOS CHILE</t>
  </si>
  <si>
    <t xml:space="preserve">	2009054853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</si>
</sst>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yy"/>
    <numFmt numFmtId="165" formatCode="dd/mm/yy"/>
    <numFmt numFmtId="166" formatCode="dd\-mm\-yyyy"/>
  </numFmts>
  <fonts count="1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mbria"/>
      <family val="1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mbria"/>
      <family val="1"/>
    </font>
    <font>
      <sz val="10"/>
      <color theme="1"/>
      <name val="Arial"/>
      <family val="2"/>
    </font>
    <font>
      <b/>
      <sz val="5"/>
      <color theme="1"/>
      <name val="Cambria"/>
      <family val="1"/>
    </font>
    <font>
      <b/>
      <sz val="10"/>
      <color theme="1"/>
      <name val="Cambria"/>
      <family val="1"/>
    </font>
  </fonts>
  <fills count="15">
    <fill>
      <patternFill patternType="none"/>
    </fill>
    <fill>
      <patternFill patternType="gray125"/>
    </fill>
    <fill>
      <patternFill patternType="solid">
        <fgColor rgb="FFDADADA"/>
        <bgColor rgb="FFDADADA"/>
      </patternFill>
    </fill>
    <fill>
      <patternFill patternType="solid">
        <fgColor rgb="FFD0CECE"/>
        <bgColor rgb="FFD0CECE"/>
      </patternFill>
    </fill>
    <fill>
      <patternFill patternType="solid">
        <fgColor rgb="FFC8C8C8"/>
        <bgColor rgb="FFC8C8C8"/>
      </patternFill>
    </fill>
    <fill>
      <patternFill patternType="solid">
        <fgColor rgb="FFFFFF00"/>
        <bgColor rgb="FFFFFF00"/>
      </patternFill>
    </fill>
    <fill>
      <patternFill patternType="solid">
        <fgColor rgb="FFCCECFF"/>
        <bgColor rgb="FFCCECFF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A5A5A5"/>
        <bgColor rgb="FFA5A5A5"/>
      </patternFill>
    </fill>
    <fill>
      <patternFill patternType="solid">
        <fgColor rgb="FFD8D8D8"/>
        <bgColor rgb="FFD8D8D8"/>
      </patternFill>
    </fill>
    <fill>
      <patternFill patternType="solid">
        <fgColor rgb="FFF4CCCC"/>
        <bgColor rgb="FFF4CCCC"/>
      </patternFill>
    </fill>
    <fill>
      <patternFill patternType="solid">
        <fgColor rgb="FFF7CAAC"/>
        <bgColor rgb="FFF7CAAC"/>
      </patternFill>
    </fill>
    <fill>
      <patternFill patternType="solid">
        <fgColor rgb="FFFFFF00"/>
        <bgColor rgb="FFCCECFF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164" fontId="6" fillId="7" borderId="1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7" borderId="4" xfId="0" applyFont="1" applyFill="1" applyBorder="1"/>
    <xf numFmtId="0" fontId="6" fillId="7" borderId="1" xfId="0" applyFont="1" applyFill="1" applyBorder="1"/>
    <xf numFmtId="0" fontId="6" fillId="7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7" borderId="3" xfId="0" applyFont="1" applyFill="1" applyBorder="1"/>
    <xf numFmtId="0" fontId="6" fillId="7" borderId="5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wrapText="1"/>
    </xf>
    <xf numFmtId="0" fontId="6" fillId="7" borderId="3" xfId="0" applyFont="1" applyFill="1" applyBorder="1" applyAlignment="1">
      <alignment horizontal="center"/>
    </xf>
    <xf numFmtId="165" fontId="6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" xfId="0" applyFont="1" applyBorder="1"/>
    <xf numFmtId="0" fontId="6" fillId="0" borderId="7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wrapText="1"/>
    </xf>
    <xf numFmtId="0" fontId="8" fillId="8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7" borderId="1" xfId="0" applyFont="1" applyFill="1" applyBorder="1" applyAlignment="1">
      <alignment horizontal="right"/>
    </xf>
    <xf numFmtId="0" fontId="6" fillId="9" borderId="5" xfId="0" applyFont="1" applyFill="1" applyBorder="1"/>
    <xf numFmtId="0" fontId="6" fillId="9" borderId="9" xfId="0" applyFont="1" applyFill="1" applyBorder="1"/>
    <xf numFmtId="0" fontId="9" fillId="9" borderId="9" xfId="0" applyFont="1" applyFill="1" applyBorder="1" applyAlignment="1">
      <alignment horizontal="left"/>
    </xf>
    <xf numFmtId="0" fontId="3" fillId="2" borderId="2" xfId="0" applyFont="1" applyFill="1" applyBorder="1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166" fontId="6" fillId="7" borderId="1" xfId="0" applyNumberFormat="1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164" fontId="6" fillId="8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0" fillId="7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 vertical="center"/>
    </xf>
    <xf numFmtId="166" fontId="6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/>
    <xf numFmtId="0" fontId="6" fillId="8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wrapText="1"/>
    </xf>
    <xf numFmtId="0" fontId="6" fillId="7" borderId="1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right"/>
    </xf>
    <xf numFmtId="0" fontId="5" fillId="5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1" xfId="0" quotePrefix="1" applyFont="1" applyBorder="1" applyAlignment="1">
      <alignment horizontal="center" vertical="center"/>
    </xf>
    <xf numFmtId="0" fontId="5" fillId="6" borderId="11" xfId="0" applyFont="1" applyFill="1" applyBorder="1" applyAlignment="1">
      <alignment horizont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/>
    <xf numFmtId="0" fontId="6" fillId="0" borderId="12" xfId="0" applyFont="1" applyBorder="1"/>
    <xf numFmtId="0" fontId="6" fillId="0" borderId="14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6" borderId="3" xfId="0" applyFont="1" applyFill="1" applyBorder="1"/>
    <xf numFmtId="0" fontId="6" fillId="0" borderId="0" xfId="0" applyFont="1"/>
    <xf numFmtId="0" fontId="6" fillId="2" borderId="3" xfId="0" applyFont="1" applyFill="1" applyBorder="1"/>
    <xf numFmtId="0" fontId="5" fillId="11" borderId="1" xfId="0" applyFont="1" applyFill="1" applyBorder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/>
    </xf>
    <xf numFmtId="0" fontId="6" fillId="8" borderId="4" xfId="0" applyFont="1" applyFill="1" applyBorder="1"/>
    <xf numFmtId="0" fontId="6" fillId="0" borderId="6" xfId="0" applyFont="1" applyBorder="1" applyAlignment="1">
      <alignment vertical="center"/>
    </xf>
    <xf numFmtId="164" fontId="6" fillId="0" borderId="0" xfId="0" applyNumberFormat="1" applyFont="1"/>
    <xf numFmtId="0" fontId="5" fillId="6" borderId="8" xfId="0" applyFont="1" applyFill="1" applyBorder="1" applyAlignment="1">
      <alignment horizontal="center"/>
    </xf>
    <xf numFmtId="164" fontId="6" fillId="0" borderId="8" xfId="0" applyNumberFormat="1" applyFont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0" borderId="8" xfId="0" applyFont="1" applyBorder="1"/>
    <xf numFmtId="0" fontId="6" fillId="0" borderId="1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0" fillId="0" borderId="15" xfId="0" applyBorder="1"/>
    <xf numFmtId="0" fontId="6" fillId="7" borderId="15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/>
    </xf>
    <xf numFmtId="0" fontId="5" fillId="13" borderId="1" xfId="0" applyFont="1" applyFill="1" applyBorder="1" applyAlignment="1">
      <alignment horizontal="center"/>
    </xf>
    <xf numFmtId="14" fontId="6" fillId="7" borderId="1" xfId="0" applyNumberFormat="1" applyFont="1" applyFill="1" applyBorder="1" applyAlignment="1">
      <alignment horizontal="center" vertical="center"/>
    </xf>
    <xf numFmtId="0" fontId="1" fillId="0" borderId="15" xfId="0" applyFont="1" applyBorder="1"/>
    <xf numFmtId="0" fontId="6" fillId="14" borderId="1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/>
    </xf>
    <xf numFmtId="0" fontId="0" fillId="0" borderId="17" xfId="0" applyBorder="1"/>
    <xf numFmtId="0" fontId="4" fillId="4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6" fillId="7" borderId="8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6" fillId="7" borderId="7" xfId="0" applyFont="1" applyFill="1" applyBorder="1" applyAlignment="1">
      <alignment horizontal="center" vertical="center"/>
    </xf>
    <xf numFmtId="0" fontId="6" fillId="7" borderId="6" xfId="0" applyFont="1" applyFill="1" applyBorder="1"/>
    <xf numFmtId="0" fontId="4" fillId="4" borderId="8" xfId="0" applyFont="1" applyFill="1" applyBorder="1" applyAlignment="1">
      <alignment horizontal="center" vertical="center"/>
    </xf>
    <xf numFmtId="0" fontId="6" fillId="7" borderId="15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986"/>
  <sheetViews>
    <sheetView zoomScale="50" zoomScaleNormal="50" workbookViewId="0">
      <pane ySplit="1" topLeftCell="A2" activePane="bottomLeft" state="frozen"/>
      <selection pane="bottomLeft" activeCell="E12" sqref="E12"/>
    </sheetView>
  </sheetViews>
  <sheetFormatPr baseColWidth="10" defaultColWidth="14.42578125" defaultRowHeight="15" customHeight="1" x14ac:dyDescent="0.25"/>
  <cols>
    <col min="1" max="1" width="11.5703125" customWidth="1"/>
    <col min="2" max="2" width="10.42578125" customWidth="1"/>
    <col min="3" max="3" width="18.140625" customWidth="1"/>
    <col min="4" max="4" width="8.85546875" customWidth="1"/>
    <col min="5" max="5" width="23.140625" customWidth="1"/>
    <col min="6" max="6" width="26.28515625" customWidth="1"/>
    <col min="7" max="7" width="23.42578125" customWidth="1"/>
    <col min="8" max="8" width="24.28515625" customWidth="1"/>
    <col min="9" max="9" width="9.7109375" customWidth="1"/>
    <col min="10" max="10" width="7" customWidth="1"/>
    <col min="11" max="11" width="15" customWidth="1"/>
    <col min="12" max="12" width="13" style="99" customWidth="1"/>
    <col min="13" max="13" width="13" customWidth="1"/>
    <col min="14" max="14" width="14.140625" customWidth="1"/>
    <col min="15" max="15" width="24.42578125" customWidth="1"/>
    <col min="16" max="16" width="17.140625" customWidth="1"/>
    <col min="17" max="17" width="41" customWidth="1"/>
    <col min="18" max="18" width="49.5703125" customWidth="1"/>
    <col min="19" max="19" width="16" customWidth="1"/>
    <col min="20" max="20" width="20" customWidth="1"/>
    <col min="21" max="21" width="13.140625" customWidth="1"/>
    <col min="22" max="22" width="20.28515625" customWidth="1"/>
    <col min="23" max="23" width="22.85546875" customWidth="1"/>
    <col min="24" max="24" width="7.5703125" customWidth="1"/>
    <col min="25" max="25" width="7.140625" customWidth="1"/>
    <col min="26" max="26" width="7.42578125" customWidth="1"/>
    <col min="27" max="27" width="12.140625" customWidth="1"/>
    <col min="28" max="29" width="10.28515625" customWidth="1"/>
    <col min="30" max="30" width="11.7109375" customWidth="1"/>
    <col min="31" max="31" width="6.5703125" customWidth="1"/>
    <col min="32" max="32" width="11.85546875" customWidth="1"/>
    <col min="33" max="33" width="10.5703125" customWidth="1"/>
    <col min="34" max="34" width="13.28515625" customWidth="1"/>
    <col min="35" max="35" width="11.28515625" customWidth="1"/>
    <col min="36" max="36" width="10.7109375" customWidth="1"/>
    <col min="37" max="38" width="23.140625" customWidth="1"/>
    <col min="39" max="41" width="45.140625" customWidth="1"/>
  </cols>
  <sheetData>
    <row r="1" spans="1:41" ht="75.75" customHeight="1" x14ac:dyDescent="0.25">
      <c r="A1" s="2" t="s">
        <v>0</v>
      </c>
      <c r="B1" s="3" t="s">
        <v>1</v>
      </c>
      <c r="C1" s="4" t="s">
        <v>2</v>
      </c>
      <c r="D1" s="88" t="s">
        <v>3</v>
      </c>
      <c r="E1" s="105" t="s">
        <v>4</v>
      </c>
      <c r="F1" s="105" t="s">
        <v>5</v>
      </c>
      <c r="G1" s="105" t="s">
        <v>6</v>
      </c>
      <c r="H1" s="5" t="s">
        <v>7</v>
      </c>
      <c r="I1" s="5" t="s">
        <v>8</v>
      </c>
      <c r="J1" s="5" t="s">
        <v>9</v>
      </c>
      <c r="K1" s="4" t="s">
        <v>10</v>
      </c>
      <c r="L1" s="6" t="s">
        <v>11</v>
      </c>
      <c r="M1" s="4" t="s">
        <v>12</v>
      </c>
      <c r="N1" s="4" t="s">
        <v>13</v>
      </c>
      <c r="O1" s="5" t="s">
        <v>14</v>
      </c>
      <c r="P1" s="4" t="s">
        <v>15</v>
      </c>
      <c r="Q1" s="4" t="s">
        <v>16</v>
      </c>
      <c r="R1" s="5" t="s">
        <v>17</v>
      </c>
      <c r="S1" s="4" t="s">
        <v>18</v>
      </c>
      <c r="T1" s="5" t="s">
        <v>19</v>
      </c>
      <c r="U1" s="6" t="s">
        <v>20</v>
      </c>
      <c r="V1" s="5" t="s">
        <v>21</v>
      </c>
      <c r="W1" s="5" t="s">
        <v>22</v>
      </c>
      <c r="X1" s="7" t="s">
        <v>23</v>
      </c>
      <c r="Y1" s="7" t="s">
        <v>24</v>
      </c>
      <c r="Z1" s="7" t="s">
        <v>25</v>
      </c>
      <c r="AA1" s="8" t="s">
        <v>26</v>
      </c>
      <c r="AB1" s="7" t="s">
        <v>27</v>
      </c>
      <c r="AC1" s="7" t="s">
        <v>28</v>
      </c>
      <c r="AD1" s="7" t="s">
        <v>29</v>
      </c>
      <c r="AE1" s="8" t="s">
        <v>30</v>
      </c>
      <c r="AF1" s="7" t="s">
        <v>31</v>
      </c>
      <c r="AG1" s="8" t="s">
        <v>32</v>
      </c>
      <c r="AH1" s="8" t="s">
        <v>33</v>
      </c>
      <c r="AI1" s="8" t="s">
        <v>34</v>
      </c>
      <c r="AJ1" s="8" t="s">
        <v>35</v>
      </c>
      <c r="AK1" s="5" t="s">
        <v>4</v>
      </c>
      <c r="AL1" s="5" t="s">
        <v>36</v>
      </c>
      <c r="AM1" s="94" t="s">
        <v>37</v>
      </c>
      <c r="AN1" s="96"/>
      <c r="AO1" s="9"/>
    </row>
    <row r="2" spans="1:41" ht="40.5" customHeight="1" x14ac:dyDescent="0.25">
      <c r="A2" s="10">
        <v>1</v>
      </c>
      <c r="B2" s="11" t="s">
        <v>38</v>
      </c>
      <c r="C2" s="12">
        <v>45105</v>
      </c>
      <c r="D2" s="103">
        <f t="shared" ref="D2:D22" ca="1" si="0">DAYS360(C2,TODAY())</f>
        <v>33</v>
      </c>
      <c r="E2" s="87"/>
      <c r="F2" s="106" t="s">
        <v>56</v>
      </c>
      <c r="G2" s="106" t="s">
        <v>57</v>
      </c>
      <c r="H2" s="104" t="s">
        <v>58</v>
      </c>
      <c r="I2" s="13" t="s">
        <v>59</v>
      </c>
      <c r="J2" s="20">
        <v>81</v>
      </c>
      <c r="K2" s="13" t="s">
        <v>60</v>
      </c>
      <c r="L2" s="13" t="s">
        <v>81</v>
      </c>
      <c r="M2" s="21" t="s">
        <v>44</v>
      </c>
      <c r="N2" s="12">
        <v>15463</v>
      </c>
      <c r="O2" s="20">
        <v>2010063996</v>
      </c>
      <c r="P2" s="13" t="s">
        <v>61</v>
      </c>
      <c r="Q2" s="22" t="s">
        <v>62</v>
      </c>
      <c r="R2" s="22" t="s">
        <v>63</v>
      </c>
      <c r="S2" s="13" t="s">
        <v>64</v>
      </c>
      <c r="T2" s="21" t="s">
        <v>65</v>
      </c>
      <c r="U2" s="13" t="s">
        <v>66</v>
      </c>
      <c r="V2" s="23">
        <v>967494119</v>
      </c>
      <c r="W2" s="13" t="s">
        <v>67</v>
      </c>
      <c r="X2" s="13" t="s">
        <v>51</v>
      </c>
      <c r="Y2" s="13" t="s">
        <v>51</v>
      </c>
      <c r="Z2" s="13" t="s">
        <v>51</v>
      </c>
      <c r="AA2" s="13" t="s">
        <v>51</v>
      </c>
      <c r="AB2" s="13" t="s">
        <v>51</v>
      </c>
      <c r="AC2" s="13" t="s">
        <v>51</v>
      </c>
      <c r="AD2" s="16" t="s">
        <v>51</v>
      </c>
      <c r="AE2" s="13" t="s">
        <v>54</v>
      </c>
      <c r="AF2" s="13" t="s">
        <v>54</v>
      </c>
      <c r="AG2" s="13" t="s">
        <v>54</v>
      </c>
      <c r="AH2" s="13" t="s">
        <v>51</v>
      </c>
      <c r="AI2" s="13" t="s">
        <v>54</v>
      </c>
      <c r="AJ2" s="13" t="s">
        <v>51</v>
      </c>
      <c r="AK2" s="17"/>
      <c r="AL2" s="17"/>
      <c r="AM2" s="38"/>
      <c r="AN2" s="97"/>
      <c r="AO2" s="18"/>
    </row>
    <row r="3" spans="1:41" ht="42.75" customHeight="1" x14ac:dyDescent="0.25">
      <c r="A3" s="10">
        <v>2</v>
      </c>
      <c r="B3" s="11" t="s">
        <v>38</v>
      </c>
      <c r="C3" s="25">
        <v>45114</v>
      </c>
      <c r="D3" s="103">
        <f t="shared" ca="1" si="0"/>
        <v>24</v>
      </c>
      <c r="E3" s="97"/>
      <c r="F3" s="106" t="s">
        <v>94</v>
      </c>
      <c r="G3" s="106" t="s">
        <v>95</v>
      </c>
      <c r="H3" s="104" t="s">
        <v>96</v>
      </c>
      <c r="I3" s="13" t="s">
        <v>59</v>
      </c>
      <c r="J3" s="13">
        <v>41</v>
      </c>
      <c r="K3" s="13" t="s">
        <v>97</v>
      </c>
      <c r="L3" s="13" t="s">
        <v>72</v>
      </c>
      <c r="M3" s="13" t="s">
        <v>44</v>
      </c>
      <c r="N3" s="12">
        <v>30114</v>
      </c>
      <c r="O3" s="13">
        <v>20210139546</v>
      </c>
      <c r="P3" s="13" t="s">
        <v>61</v>
      </c>
      <c r="Q3" s="32" t="s">
        <v>98</v>
      </c>
      <c r="R3" s="16" t="s">
        <v>99</v>
      </c>
      <c r="S3" s="33" t="s">
        <v>64</v>
      </c>
      <c r="T3" s="13" t="s">
        <v>100</v>
      </c>
      <c r="U3" s="13" t="s">
        <v>66</v>
      </c>
      <c r="V3" s="13">
        <v>920519776</v>
      </c>
      <c r="W3" s="13" t="s">
        <v>50</v>
      </c>
      <c r="X3" s="21" t="s">
        <v>51</v>
      </c>
      <c r="Y3" s="13" t="s">
        <v>51</v>
      </c>
      <c r="Z3" s="13" t="s">
        <v>51</v>
      </c>
      <c r="AA3" s="13" t="s">
        <v>53</v>
      </c>
      <c r="AB3" s="13" t="s">
        <v>51</v>
      </c>
      <c r="AC3" s="13" t="s">
        <v>51</v>
      </c>
      <c r="AD3" s="16" t="s">
        <v>51</v>
      </c>
      <c r="AE3" s="13" t="s">
        <v>54</v>
      </c>
      <c r="AF3" s="13" t="s">
        <v>54</v>
      </c>
      <c r="AG3" s="13" t="s">
        <v>54</v>
      </c>
      <c r="AH3" s="13" t="s">
        <v>51</v>
      </c>
      <c r="AI3" s="13" t="s">
        <v>76</v>
      </c>
      <c r="AJ3" s="13" t="s">
        <v>51</v>
      </c>
      <c r="AK3" s="17"/>
      <c r="AL3" s="17"/>
      <c r="AM3" s="38"/>
      <c r="AN3" s="97"/>
      <c r="AO3" s="18"/>
    </row>
    <row r="4" spans="1:41" ht="44.25" customHeight="1" x14ac:dyDescent="0.25">
      <c r="A4" s="10">
        <v>3</v>
      </c>
      <c r="B4" s="11" t="s">
        <v>38</v>
      </c>
      <c r="C4" s="25">
        <v>45117</v>
      </c>
      <c r="D4" s="13">
        <f t="shared" ca="1" si="0"/>
        <v>21</v>
      </c>
      <c r="E4" s="66"/>
      <c r="F4" s="67" t="s">
        <v>109</v>
      </c>
      <c r="G4" s="68" t="s">
        <v>110</v>
      </c>
      <c r="H4" s="27" t="s">
        <v>111</v>
      </c>
      <c r="I4" s="17" t="s">
        <v>59</v>
      </c>
      <c r="J4" s="17">
        <v>60</v>
      </c>
      <c r="K4" s="17" t="s">
        <v>112</v>
      </c>
      <c r="L4" s="13" t="s">
        <v>72</v>
      </c>
      <c r="M4" s="17" t="s">
        <v>44</v>
      </c>
      <c r="N4" s="25">
        <v>22866</v>
      </c>
      <c r="O4" s="17">
        <v>202300153187</v>
      </c>
      <c r="P4" s="17" t="s">
        <v>45</v>
      </c>
      <c r="Q4" s="28" t="s">
        <v>46</v>
      </c>
      <c r="R4" s="36" t="s">
        <v>113</v>
      </c>
      <c r="S4" s="33" t="s">
        <v>64</v>
      </c>
      <c r="T4" s="13" t="s">
        <v>48</v>
      </c>
      <c r="U4" s="13" t="s">
        <v>66</v>
      </c>
      <c r="V4" s="36">
        <v>993940151</v>
      </c>
      <c r="W4" s="17" t="s">
        <v>50</v>
      </c>
      <c r="X4" s="30" t="s">
        <v>51</v>
      </c>
      <c r="Y4" s="17" t="s">
        <v>51</v>
      </c>
      <c r="Z4" s="17" t="s">
        <v>51</v>
      </c>
      <c r="AA4" s="17" t="s">
        <v>114</v>
      </c>
      <c r="AB4" s="17" t="s">
        <v>51</v>
      </c>
      <c r="AC4" s="17" t="s">
        <v>51</v>
      </c>
      <c r="AD4" s="29" t="s">
        <v>51</v>
      </c>
      <c r="AE4" s="17" t="s">
        <v>54</v>
      </c>
      <c r="AF4" s="17" t="s">
        <v>54</v>
      </c>
      <c r="AG4" s="17" t="s">
        <v>54</v>
      </c>
      <c r="AH4" s="17" t="s">
        <v>55</v>
      </c>
      <c r="AI4" s="17" t="s">
        <v>76</v>
      </c>
      <c r="AJ4" s="17" t="s">
        <v>76</v>
      </c>
      <c r="AK4" s="17"/>
      <c r="AL4" s="17"/>
      <c r="AM4" s="38"/>
      <c r="AN4" s="97"/>
      <c r="AO4" s="18"/>
    </row>
    <row r="5" spans="1:41" ht="47.25" customHeight="1" x14ac:dyDescent="0.25">
      <c r="A5" s="10">
        <v>4</v>
      </c>
      <c r="B5" s="11" t="s">
        <v>38</v>
      </c>
      <c r="C5" s="25">
        <v>45117</v>
      </c>
      <c r="D5" s="13">
        <f t="shared" ca="1" si="0"/>
        <v>21</v>
      </c>
      <c r="E5" s="17"/>
      <c r="F5" s="26" t="s">
        <v>115</v>
      </c>
      <c r="G5" s="27" t="s">
        <v>116</v>
      </c>
      <c r="H5" s="27" t="s">
        <v>117</v>
      </c>
      <c r="I5" s="17" t="s">
        <v>42</v>
      </c>
      <c r="J5" s="17">
        <v>73</v>
      </c>
      <c r="K5" s="17" t="s">
        <v>118</v>
      </c>
      <c r="L5" s="13" t="s">
        <v>72</v>
      </c>
      <c r="M5" s="17" t="s">
        <v>44</v>
      </c>
      <c r="N5" s="25">
        <v>18117</v>
      </c>
      <c r="O5" s="17">
        <v>200746289</v>
      </c>
      <c r="P5" s="17" t="s">
        <v>45</v>
      </c>
      <c r="Q5" s="28" t="s">
        <v>119</v>
      </c>
      <c r="R5" s="29" t="s">
        <v>120</v>
      </c>
      <c r="S5" s="33" t="s">
        <v>64</v>
      </c>
      <c r="T5" s="13" t="s">
        <v>48</v>
      </c>
      <c r="U5" s="13" t="s">
        <v>66</v>
      </c>
      <c r="V5" s="36">
        <v>999606735</v>
      </c>
      <c r="W5" s="17" t="s">
        <v>50</v>
      </c>
      <c r="X5" s="30" t="s">
        <v>51</v>
      </c>
      <c r="Y5" s="17" t="s">
        <v>51</v>
      </c>
      <c r="Z5" s="17" t="s">
        <v>51</v>
      </c>
      <c r="AA5" s="17" t="s">
        <v>114</v>
      </c>
      <c r="AB5" s="17" t="s">
        <v>51</v>
      </c>
      <c r="AC5" s="17" t="s">
        <v>51</v>
      </c>
      <c r="AD5" s="29" t="s">
        <v>51</v>
      </c>
      <c r="AE5" s="17" t="s">
        <v>54</v>
      </c>
      <c r="AF5" s="17" t="s">
        <v>54</v>
      </c>
      <c r="AG5" s="17" t="s">
        <v>54</v>
      </c>
      <c r="AH5" s="17" t="s">
        <v>51</v>
      </c>
      <c r="AI5" s="17" t="s">
        <v>76</v>
      </c>
      <c r="AJ5" s="17" t="s">
        <v>76</v>
      </c>
      <c r="AK5" s="17"/>
      <c r="AL5" s="17"/>
      <c r="AM5" s="38"/>
      <c r="AN5" s="97"/>
      <c r="AO5" s="18"/>
    </row>
    <row r="6" spans="1:41" ht="42.75" customHeight="1" x14ac:dyDescent="0.25">
      <c r="A6" s="10">
        <v>5</v>
      </c>
      <c r="B6" s="11" t="s">
        <v>38</v>
      </c>
      <c r="C6" s="25">
        <v>45118</v>
      </c>
      <c r="D6" s="13">
        <f t="shared" ca="1" si="0"/>
        <v>20</v>
      </c>
      <c r="E6" s="17"/>
      <c r="F6" s="27" t="s">
        <v>128</v>
      </c>
      <c r="G6" s="27" t="s">
        <v>129</v>
      </c>
      <c r="H6" s="27" t="s">
        <v>130</v>
      </c>
      <c r="I6" s="17" t="s">
        <v>42</v>
      </c>
      <c r="J6" s="17">
        <v>76</v>
      </c>
      <c r="K6" s="17" t="s">
        <v>131</v>
      </c>
      <c r="L6" s="13" t="s">
        <v>72</v>
      </c>
      <c r="M6" s="17" t="s">
        <v>44</v>
      </c>
      <c r="N6" s="25">
        <v>17273</v>
      </c>
      <c r="O6" s="17">
        <v>200634562</v>
      </c>
      <c r="P6" s="17" t="s">
        <v>89</v>
      </c>
      <c r="Q6" s="28" t="s">
        <v>412</v>
      </c>
      <c r="R6" s="29" t="s">
        <v>133</v>
      </c>
      <c r="S6" s="37" t="s">
        <v>64</v>
      </c>
      <c r="T6" s="17" t="s">
        <v>48</v>
      </c>
      <c r="U6" s="13" t="s">
        <v>66</v>
      </c>
      <c r="V6" s="17">
        <v>996701243</v>
      </c>
      <c r="W6" s="17" t="s">
        <v>50</v>
      </c>
      <c r="X6" s="30" t="s">
        <v>51</v>
      </c>
      <c r="Y6" s="17" t="s">
        <v>51</v>
      </c>
      <c r="Z6" s="17" t="s">
        <v>51</v>
      </c>
      <c r="AA6" s="17" t="s">
        <v>51</v>
      </c>
      <c r="AB6" s="17" t="s">
        <v>51</v>
      </c>
      <c r="AC6" s="17" t="s">
        <v>51</v>
      </c>
      <c r="AD6" s="17" t="s">
        <v>51</v>
      </c>
      <c r="AE6" s="17" t="s">
        <v>51</v>
      </c>
      <c r="AF6" s="17" t="s">
        <v>54</v>
      </c>
      <c r="AG6" s="17" t="s">
        <v>54</v>
      </c>
      <c r="AH6" s="17" t="s">
        <v>55</v>
      </c>
      <c r="AI6" s="17" t="s">
        <v>54</v>
      </c>
      <c r="AJ6" s="17" t="s">
        <v>51</v>
      </c>
      <c r="AK6" s="17"/>
      <c r="AL6" s="17"/>
      <c r="AM6" s="38"/>
      <c r="AN6" s="97"/>
      <c r="AO6" s="18"/>
    </row>
    <row r="7" spans="1:41" ht="47.25" customHeight="1" x14ac:dyDescent="0.25">
      <c r="A7" s="10">
        <v>6</v>
      </c>
      <c r="B7" s="11" t="s">
        <v>38</v>
      </c>
      <c r="C7" s="25">
        <v>45119</v>
      </c>
      <c r="D7" s="13">
        <f t="shared" ca="1" si="0"/>
        <v>19</v>
      </c>
      <c r="E7" s="17"/>
      <c r="F7" s="26" t="s">
        <v>144</v>
      </c>
      <c r="G7" s="27" t="s">
        <v>145</v>
      </c>
      <c r="H7" s="27" t="s">
        <v>79</v>
      </c>
      <c r="I7" s="17" t="s">
        <v>59</v>
      </c>
      <c r="J7" s="17">
        <v>65</v>
      </c>
      <c r="K7" s="17" t="s">
        <v>146</v>
      </c>
      <c r="L7" s="13" t="s">
        <v>72</v>
      </c>
      <c r="M7" s="17" t="s">
        <v>142</v>
      </c>
      <c r="N7" s="25">
        <v>21052</v>
      </c>
      <c r="O7" s="17">
        <v>200635384</v>
      </c>
      <c r="P7" s="17" t="s">
        <v>89</v>
      </c>
      <c r="Q7" s="29" t="s">
        <v>147</v>
      </c>
      <c r="R7" s="29" t="s">
        <v>148</v>
      </c>
      <c r="S7" s="17">
        <v>183</v>
      </c>
      <c r="T7" s="17" t="s">
        <v>48</v>
      </c>
      <c r="U7" s="13" t="s">
        <v>49</v>
      </c>
      <c r="V7" s="17">
        <v>982642533</v>
      </c>
      <c r="W7" s="17" t="s">
        <v>50</v>
      </c>
      <c r="X7" s="17" t="s">
        <v>51</v>
      </c>
      <c r="Y7" s="17" t="s">
        <v>51</v>
      </c>
      <c r="Z7" s="17" t="s">
        <v>51</v>
      </c>
      <c r="AA7" s="17" t="s">
        <v>51</v>
      </c>
      <c r="AB7" s="17" t="s">
        <v>54</v>
      </c>
      <c r="AC7" s="17" t="s">
        <v>51</v>
      </c>
      <c r="AD7" s="17" t="s">
        <v>51</v>
      </c>
      <c r="AE7" s="17" t="s">
        <v>51</v>
      </c>
      <c r="AF7" s="17" t="s">
        <v>54</v>
      </c>
      <c r="AG7" s="17" t="s">
        <v>54</v>
      </c>
      <c r="AH7" s="17" t="s">
        <v>55</v>
      </c>
      <c r="AI7" s="17" t="s">
        <v>54</v>
      </c>
      <c r="AJ7" s="17" t="s">
        <v>51</v>
      </c>
      <c r="AK7" s="17"/>
      <c r="AL7" s="17"/>
      <c r="AM7" s="38"/>
      <c r="AN7" s="97"/>
      <c r="AO7" s="18"/>
    </row>
    <row r="8" spans="1:41" ht="45" customHeight="1" x14ac:dyDescent="0.25">
      <c r="A8" s="10">
        <v>7</v>
      </c>
      <c r="B8" s="11" t="s">
        <v>38</v>
      </c>
      <c r="C8" s="25">
        <v>45120</v>
      </c>
      <c r="D8" s="13">
        <f t="shared" ca="1" si="0"/>
        <v>18</v>
      </c>
      <c r="E8" s="17"/>
      <c r="F8" s="27" t="s">
        <v>159</v>
      </c>
      <c r="G8" s="27" t="s">
        <v>78</v>
      </c>
      <c r="H8" s="27" t="s">
        <v>160</v>
      </c>
      <c r="I8" s="17" t="s">
        <v>42</v>
      </c>
      <c r="J8" s="17">
        <v>78</v>
      </c>
      <c r="K8" s="17" t="s">
        <v>161</v>
      </c>
      <c r="L8" s="13" t="s">
        <v>72</v>
      </c>
      <c r="M8" s="17" t="s">
        <v>142</v>
      </c>
      <c r="N8" s="25">
        <v>16254</v>
      </c>
      <c r="O8" s="17">
        <v>2002014869</v>
      </c>
      <c r="P8" s="17" t="s">
        <v>89</v>
      </c>
      <c r="Q8" s="29" t="s">
        <v>162</v>
      </c>
      <c r="R8" s="29" t="s">
        <v>163</v>
      </c>
      <c r="S8" s="17">
        <v>106</v>
      </c>
      <c r="T8" s="17" t="s">
        <v>48</v>
      </c>
      <c r="U8" s="13" t="s">
        <v>49</v>
      </c>
      <c r="V8" s="17">
        <v>957310149</v>
      </c>
      <c r="W8" s="17" t="s">
        <v>50</v>
      </c>
      <c r="X8" s="17" t="s">
        <v>51</v>
      </c>
      <c r="Y8" s="17" t="s">
        <v>51</v>
      </c>
      <c r="Z8" s="17" t="s">
        <v>51</v>
      </c>
      <c r="AA8" s="17" t="s">
        <v>53</v>
      </c>
      <c r="AB8" s="17" t="s">
        <v>54</v>
      </c>
      <c r="AC8" s="17" t="s">
        <v>51</v>
      </c>
      <c r="AD8" s="17" t="s">
        <v>51</v>
      </c>
      <c r="AE8" s="17" t="s">
        <v>51</v>
      </c>
      <c r="AF8" s="17" t="s">
        <v>54</v>
      </c>
      <c r="AG8" s="17" t="s">
        <v>54</v>
      </c>
      <c r="AH8" s="17" t="s">
        <v>55</v>
      </c>
      <c r="AI8" s="17" t="s">
        <v>51</v>
      </c>
      <c r="AJ8" s="17" t="s">
        <v>51</v>
      </c>
      <c r="AK8" s="17"/>
      <c r="AL8" s="17"/>
      <c r="AM8" s="38"/>
      <c r="AN8" s="98" t="s">
        <v>410</v>
      </c>
      <c r="AO8" s="18"/>
    </row>
    <row r="9" spans="1:41" ht="38.25" customHeight="1" x14ac:dyDescent="0.25">
      <c r="A9" s="10">
        <v>8</v>
      </c>
      <c r="B9" s="80" t="s">
        <v>38</v>
      </c>
      <c r="C9" s="81">
        <v>45124</v>
      </c>
      <c r="D9" s="13">
        <f t="shared" ca="1" si="0"/>
        <v>14</v>
      </c>
      <c r="E9" s="31"/>
      <c r="F9" s="83" t="s">
        <v>164</v>
      </c>
      <c r="G9" s="83" t="s">
        <v>165</v>
      </c>
      <c r="H9" s="83" t="s">
        <v>166</v>
      </c>
      <c r="I9" s="31" t="s">
        <v>59</v>
      </c>
      <c r="J9" s="31">
        <v>63</v>
      </c>
      <c r="K9" s="84" t="s">
        <v>167</v>
      </c>
      <c r="L9" s="100" t="s">
        <v>51</v>
      </c>
      <c r="M9" s="82" t="s">
        <v>142</v>
      </c>
      <c r="N9" s="81">
        <v>21749</v>
      </c>
      <c r="O9" s="31">
        <v>202300153481</v>
      </c>
      <c r="P9" s="31" t="s">
        <v>89</v>
      </c>
      <c r="Q9" s="85" t="s">
        <v>168</v>
      </c>
      <c r="R9" s="85" t="s">
        <v>169</v>
      </c>
      <c r="S9" s="31" t="s">
        <v>64</v>
      </c>
      <c r="T9" s="31" t="s">
        <v>48</v>
      </c>
      <c r="U9" s="82" t="s">
        <v>66</v>
      </c>
      <c r="V9" s="31">
        <v>953673599</v>
      </c>
      <c r="W9" s="31" t="s">
        <v>50</v>
      </c>
      <c r="X9" s="31" t="s">
        <v>51</v>
      </c>
      <c r="Y9" s="31" t="s">
        <v>51</v>
      </c>
      <c r="Z9" s="31" t="s">
        <v>51</v>
      </c>
      <c r="AA9" s="31" t="s">
        <v>51</v>
      </c>
      <c r="AB9" s="31" t="s">
        <v>54</v>
      </c>
      <c r="AC9" s="31" t="s">
        <v>51</v>
      </c>
      <c r="AD9" s="31" t="s">
        <v>51</v>
      </c>
      <c r="AE9" s="31" t="s">
        <v>51</v>
      </c>
      <c r="AF9" s="31" t="s">
        <v>54</v>
      </c>
      <c r="AG9" s="31" t="s">
        <v>54</v>
      </c>
      <c r="AH9" s="31" t="s">
        <v>55</v>
      </c>
      <c r="AI9" s="31" t="s">
        <v>54</v>
      </c>
      <c r="AJ9" s="31" t="s">
        <v>51</v>
      </c>
      <c r="AK9" s="31"/>
      <c r="AL9" s="31"/>
      <c r="AM9" s="84"/>
      <c r="AN9" s="86"/>
    </row>
    <row r="10" spans="1:41" ht="38.25" customHeight="1" x14ac:dyDescent="0.25">
      <c r="A10" s="10">
        <v>9</v>
      </c>
      <c r="B10" s="11" t="s">
        <v>38</v>
      </c>
      <c r="C10" s="25">
        <v>45125</v>
      </c>
      <c r="D10" s="13">
        <f t="shared" ca="1" si="0"/>
        <v>13</v>
      </c>
      <c r="E10" s="17"/>
      <c r="F10" s="27" t="s">
        <v>369</v>
      </c>
      <c r="G10" s="27" t="s">
        <v>155</v>
      </c>
      <c r="H10" s="27" t="s">
        <v>370</v>
      </c>
      <c r="I10" s="17" t="s">
        <v>42</v>
      </c>
      <c r="J10" s="17">
        <v>79</v>
      </c>
      <c r="K10" s="38" t="s">
        <v>371</v>
      </c>
      <c r="L10" s="60" t="s">
        <v>361</v>
      </c>
      <c r="M10" s="13" t="s">
        <v>142</v>
      </c>
      <c r="N10" s="25">
        <v>16081</v>
      </c>
      <c r="O10" s="17">
        <v>20180112880</v>
      </c>
      <c r="P10" s="17" t="s">
        <v>89</v>
      </c>
      <c r="Q10" s="29" t="s">
        <v>213</v>
      </c>
      <c r="R10" s="29" t="s">
        <v>372</v>
      </c>
      <c r="S10" s="17" t="s">
        <v>64</v>
      </c>
      <c r="T10" s="17" t="s">
        <v>48</v>
      </c>
      <c r="U10" s="13" t="s">
        <v>66</v>
      </c>
      <c r="V10" s="17"/>
      <c r="W10" s="17" t="s">
        <v>50</v>
      </c>
      <c r="X10" s="17" t="s">
        <v>52</v>
      </c>
      <c r="Y10" s="17" t="s">
        <v>51</v>
      </c>
      <c r="Z10" s="17" t="s">
        <v>51</v>
      </c>
      <c r="AA10" s="17" t="s">
        <v>53</v>
      </c>
      <c r="AB10" s="17" t="s">
        <v>76</v>
      </c>
      <c r="AC10" s="17" t="s">
        <v>51</v>
      </c>
      <c r="AD10" s="17" t="s">
        <v>51</v>
      </c>
      <c r="AE10" s="17" t="s">
        <v>54</v>
      </c>
      <c r="AF10" s="17" t="s">
        <v>54</v>
      </c>
      <c r="AG10" s="17" t="s">
        <v>76</v>
      </c>
      <c r="AH10" s="17" t="s">
        <v>55</v>
      </c>
      <c r="AI10" s="17" t="s">
        <v>76</v>
      </c>
      <c r="AJ10" s="17" t="s">
        <v>76</v>
      </c>
      <c r="AK10" s="17"/>
      <c r="AL10" s="17"/>
      <c r="AM10" s="38"/>
      <c r="AN10" s="86"/>
    </row>
    <row r="11" spans="1:41" ht="47.25" customHeight="1" x14ac:dyDescent="0.25">
      <c r="A11" s="10">
        <v>10</v>
      </c>
      <c r="B11" s="11" t="s">
        <v>38</v>
      </c>
      <c r="C11" s="25">
        <v>45125</v>
      </c>
      <c r="D11" s="13">
        <f t="shared" ca="1" si="0"/>
        <v>13</v>
      </c>
      <c r="E11" s="25"/>
      <c r="F11" s="63" t="s">
        <v>318</v>
      </c>
      <c r="G11" s="63" t="s">
        <v>79</v>
      </c>
      <c r="H11" s="63" t="s">
        <v>319</v>
      </c>
      <c r="I11" s="17" t="s">
        <v>59</v>
      </c>
      <c r="J11" s="17">
        <v>32</v>
      </c>
      <c r="K11" s="38" t="s">
        <v>320</v>
      </c>
      <c r="L11" s="60" t="s">
        <v>51</v>
      </c>
      <c r="M11" s="13" t="s">
        <v>173</v>
      </c>
      <c r="N11" s="25">
        <v>33133</v>
      </c>
      <c r="O11" s="17">
        <v>2010061806</v>
      </c>
      <c r="P11" s="17" t="s">
        <v>259</v>
      </c>
      <c r="Q11" s="29" t="s">
        <v>366</v>
      </c>
      <c r="R11" s="29" t="s">
        <v>322</v>
      </c>
      <c r="S11" s="17">
        <v>451</v>
      </c>
      <c r="T11" s="17" t="s">
        <v>48</v>
      </c>
      <c r="U11" s="13" t="s">
        <v>49</v>
      </c>
      <c r="V11" s="17">
        <v>966522232</v>
      </c>
      <c r="W11" s="17" t="s">
        <v>50</v>
      </c>
      <c r="X11" s="17" t="s">
        <v>52</v>
      </c>
      <c r="Y11" s="17" t="s">
        <v>51</v>
      </c>
      <c r="Z11" s="17" t="s">
        <v>51</v>
      </c>
      <c r="AA11" s="17" t="s">
        <v>114</v>
      </c>
      <c r="AB11" s="17" t="s">
        <v>54</v>
      </c>
      <c r="AC11" s="17" t="s">
        <v>76</v>
      </c>
      <c r="AD11" s="29" t="s">
        <v>51</v>
      </c>
      <c r="AE11" s="17" t="s">
        <v>54</v>
      </c>
      <c r="AF11" s="17" t="s">
        <v>54</v>
      </c>
      <c r="AG11" s="17" t="s">
        <v>76</v>
      </c>
      <c r="AH11" s="17" t="s">
        <v>51</v>
      </c>
      <c r="AI11" s="17" t="s">
        <v>76</v>
      </c>
      <c r="AJ11" s="17" t="s">
        <v>76</v>
      </c>
      <c r="AK11" s="25"/>
      <c r="AL11" s="17"/>
      <c r="AM11" s="38"/>
      <c r="AN11" s="97"/>
      <c r="AO11" s="18"/>
    </row>
    <row r="12" spans="1:41" ht="48" customHeight="1" x14ac:dyDescent="0.25">
      <c r="A12" s="10">
        <v>11</v>
      </c>
      <c r="B12" s="11" t="s">
        <v>38</v>
      </c>
      <c r="C12" s="89">
        <v>45127</v>
      </c>
      <c r="D12" s="17">
        <f t="shared" ca="1" si="0"/>
        <v>11</v>
      </c>
      <c r="E12" s="17"/>
      <c r="F12" s="27" t="s">
        <v>85</v>
      </c>
      <c r="G12" s="27" t="s">
        <v>381</v>
      </c>
      <c r="H12" s="27" t="s">
        <v>382</v>
      </c>
      <c r="I12" s="17" t="s">
        <v>59</v>
      </c>
      <c r="J12" s="17">
        <v>86</v>
      </c>
      <c r="K12" s="38" t="s">
        <v>384</v>
      </c>
      <c r="L12" s="60" t="s">
        <v>361</v>
      </c>
      <c r="M12" s="13" t="s">
        <v>142</v>
      </c>
      <c r="N12" s="89">
        <v>13435</v>
      </c>
      <c r="O12" s="17">
        <v>2009059945</v>
      </c>
      <c r="P12" s="17" t="s">
        <v>89</v>
      </c>
      <c r="Q12" s="29" t="s">
        <v>90</v>
      </c>
      <c r="R12" s="29" t="s">
        <v>387</v>
      </c>
      <c r="S12" s="17">
        <v>340</v>
      </c>
      <c r="T12" s="17" t="s">
        <v>48</v>
      </c>
      <c r="U12" s="13" t="s">
        <v>49</v>
      </c>
      <c r="V12" s="17">
        <v>987320732</v>
      </c>
      <c r="W12" s="17" t="s">
        <v>50</v>
      </c>
      <c r="X12" s="17" t="s">
        <v>52</v>
      </c>
      <c r="Y12" s="17" t="s">
        <v>51</v>
      </c>
      <c r="Z12" s="17" t="s">
        <v>51</v>
      </c>
      <c r="AA12" s="17" t="s">
        <v>51</v>
      </c>
      <c r="AB12" s="17" t="s">
        <v>51</v>
      </c>
      <c r="AC12" s="17" t="s">
        <v>51</v>
      </c>
      <c r="AD12" s="29" t="s">
        <v>51</v>
      </c>
      <c r="AE12" s="17" t="s">
        <v>54</v>
      </c>
      <c r="AF12" s="17" t="s">
        <v>54</v>
      </c>
      <c r="AG12" s="17" t="s">
        <v>76</v>
      </c>
      <c r="AH12" s="17" t="s">
        <v>51</v>
      </c>
      <c r="AI12" s="17" t="s">
        <v>76</v>
      </c>
      <c r="AJ12" s="17" t="s">
        <v>76</v>
      </c>
      <c r="AK12" s="17"/>
      <c r="AL12" s="17"/>
      <c r="AM12" s="38"/>
      <c r="AN12" s="97"/>
      <c r="AO12" s="18"/>
    </row>
    <row r="13" spans="1:41" ht="37.5" customHeight="1" x14ac:dyDescent="0.25">
      <c r="A13" s="10">
        <v>12</v>
      </c>
      <c r="B13" s="11" t="s">
        <v>38</v>
      </c>
      <c r="C13" s="89">
        <v>45128</v>
      </c>
      <c r="D13" s="17">
        <f t="shared" ca="1" si="0"/>
        <v>10</v>
      </c>
      <c r="E13" s="17"/>
      <c r="F13" s="92" t="s">
        <v>389</v>
      </c>
      <c r="G13" s="92" t="s">
        <v>390</v>
      </c>
      <c r="H13" s="92" t="s">
        <v>391</v>
      </c>
      <c r="I13" s="17" t="s">
        <v>59</v>
      </c>
      <c r="J13" s="17">
        <v>66</v>
      </c>
      <c r="K13" s="38" t="s">
        <v>394</v>
      </c>
      <c r="L13" s="60" t="s">
        <v>361</v>
      </c>
      <c r="M13" s="13" t="s">
        <v>142</v>
      </c>
      <c r="N13" s="89">
        <v>20696</v>
      </c>
      <c r="O13" s="17">
        <v>202300150498</v>
      </c>
      <c r="P13" s="17" t="s">
        <v>45</v>
      </c>
      <c r="Q13" s="29" t="s">
        <v>397</v>
      </c>
      <c r="R13" s="29" t="s">
        <v>399</v>
      </c>
      <c r="S13" s="17">
        <v>1</v>
      </c>
      <c r="T13" s="17" t="s">
        <v>402</v>
      </c>
      <c r="U13" s="13" t="s">
        <v>49</v>
      </c>
      <c r="V13" s="17">
        <v>993173805</v>
      </c>
      <c r="W13" s="17" t="s">
        <v>50</v>
      </c>
      <c r="X13" s="17" t="s">
        <v>51</v>
      </c>
      <c r="Y13" s="17" t="s">
        <v>51</v>
      </c>
      <c r="Z13" s="17" t="s">
        <v>51</v>
      </c>
      <c r="AA13" s="17" t="s">
        <v>53</v>
      </c>
      <c r="AB13" s="17" t="s">
        <v>51</v>
      </c>
      <c r="AC13" s="17" t="s">
        <v>51</v>
      </c>
      <c r="AD13" s="29" t="s">
        <v>51</v>
      </c>
      <c r="AE13" s="17" t="s">
        <v>54</v>
      </c>
      <c r="AF13" s="17" t="s">
        <v>54</v>
      </c>
      <c r="AG13" s="17" t="s">
        <v>76</v>
      </c>
      <c r="AH13" s="17" t="s">
        <v>51</v>
      </c>
      <c r="AI13" s="17" t="s">
        <v>76</v>
      </c>
      <c r="AJ13" s="17" t="s">
        <v>76</v>
      </c>
      <c r="AK13" s="17"/>
      <c r="AL13" s="17"/>
      <c r="AM13" s="38"/>
      <c r="AN13" s="97"/>
      <c r="AO13" s="18"/>
    </row>
    <row r="14" spans="1:41" ht="36" customHeight="1" x14ac:dyDescent="0.25">
      <c r="A14" s="10">
        <v>13</v>
      </c>
      <c r="B14" s="11" t="s">
        <v>38</v>
      </c>
      <c r="C14" s="89">
        <v>45129</v>
      </c>
      <c r="D14" s="17">
        <f t="shared" ca="1" si="0"/>
        <v>9</v>
      </c>
      <c r="E14" s="17"/>
      <c r="F14" s="92" t="s">
        <v>392</v>
      </c>
      <c r="G14" s="92" t="s">
        <v>188</v>
      </c>
      <c r="H14" s="92" t="s">
        <v>393</v>
      </c>
      <c r="I14" s="17" t="s">
        <v>59</v>
      </c>
      <c r="J14" s="17">
        <v>56</v>
      </c>
      <c r="K14" s="38" t="s">
        <v>395</v>
      </c>
      <c r="L14" s="60" t="s">
        <v>361</v>
      </c>
      <c r="M14" s="13" t="s">
        <v>142</v>
      </c>
      <c r="N14" s="89">
        <v>24630</v>
      </c>
      <c r="O14" s="17">
        <v>2013078624</v>
      </c>
      <c r="P14" s="17" t="s">
        <v>89</v>
      </c>
      <c r="Q14" s="29" t="s">
        <v>90</v>
      </c>
      <c r="R14" s="29" t="s">
        <v>400</v>
      </c>
      <c r="S14" s="17" t="s">
        <v>64</v>
      </c>
      <c r="T14" s="17" t="s">
        <v>48</v>
      </c>
      <c r="U14" s="13" t="s">
        <v>66</v>
      </c>
      <c r="V14" s="17">
        <v>996659376</v>
      </c>
      <c r="W14" s="17" t="s">
        <v>50</v>
      </c>
      <c r="X14" s="17" t="s">
        <v>52</v>
      </c>
      <c r="Y14" s="17" t="s">
        <v>51</v>
      </c>
      <c r="Z14" s="17" t="s">
        <v>51</v>
      </c>
      <c r="AA14" s="17" t="s">
        <v>51</v>
      </c>
      <c r="AB14" s="17" t="s">
        <v>51</v>
      </c>
      <c r="AC14" s="17" t="s">
        <v>51</v>
      </c>
      <c r="AD14" s="29" t="s">
        <v>51</v>
      </c>
      <c r="AE14" s="17" t="s">
        <v>54</v>
      </c>
      <c r="AF14" s="17" t="s">
        <v>54</v>
      </c>
      <c r="AG14" s="17" t="s">
        <v>76</v>
      </c>
      <c r="AH14" s="17" t="s">
        <v>51</v>
      </c>
      <c r="AI14" s="17" t="s">
        <v>76</v>
      </c>
      <c r="AJ14" s="17" t="s">
        <v>76</v>
      </c>
      <c r="AK14" s="17"/>
      <c r="AL14" s="17"/>
      <c r="AM14" s="38"/>
      <c r="AN14" s="97"/>
      <c r="AO14" s="18"/>
    </row>
    <row r="15" spans="1:41" ht="51.75" customHeight="1" x14ac:dyDescent="0.25">
      <c r="A15" s="10">
        <v>14</v>
      </c>
      <c r="B15" s="11" t="s">
        <v>38</v>
      </c>
      <c r="C15" s="89">
        <v>45129</v>
      </c>
      <c r="D15" s="17">
        <f t="shared" ca="1" si="0"/>
        <v>9</v>
      </c>
      <c r="E15" s="17"/>
      <c r="F15" s="92" t="s">
        <v>85</v>
      </c>
      <c r="G15" s="92" t="s">
        <v>207</v>
      </c>
      <c r="H15" s="92" t="s">
        <v>150</v>
      </c>
      <c r="I15" s="17" t="s">
        <v>59</v>
      </c>
      <c r="J15" s="17">
        <v>81</v>
      </c>
      <c r="K15" s="38" t="s">
        <v>396</v>
      </c>
      <c r="L15" s="60" t="s">
        <v>72</v>
      </c>
      <c r="M15" s="13" t="s">
        <v>142</v>
      </c>
      <c r="N15" s="89">
        <v>15629</v>
      </c>
      <c r="O15" s="17">
        <v>2015087455</v>
      </c>
      <c r="P15" s="17" t="s">
        <v>89</v>
      </c>
      <c r="Q15" s="93" t="s">
        <v>413</v>
      </c>
      <c r="R15" s="29" t="s">
        <v>401</v>
      </c>
      <c r="S15" s="17" t="s">
        <v>64</v>
      </c>
      <c r="T15" s="17" t="s">
        <v>48</v>
      </c>
      <c r="U15" s="13" t="s">
        <v>66</v>
      </c>
      <c r="V15" s="17">
        <v>993576865</v>
      </c>
      <c r="W15" s="17" t="s">
        <v>50</v>
      </c>
      <c r="X15" s="17" t="s">
        <v>51</v>
      </c>
      <c r="Y15" s="17" t="s">
        <v>51</v>
      </c>
      <c r="Z15" s="17" t="s">
        <v>51</v>
      </c>
      <c r="AA15" s="17" t="s">
        <v>51</v>
      </c>
      <c r="AB15" s="17" t="s">
        <v>51</v>
      </c>
      <c r="AC15" s="17" t="s">
        <v>51</v>
      </c>
      <c r="AD15" s="29" t="s">
        <v>51</v>
      </c>
      <c r="AE15" s="17" t="s">
        <v>54</v>
      </c>
      <c r="AF15" s="17" t="s">
        <v>54</v>
      </c>
      <c r="AG15" s="17" t="s">
        <v>76</v>
      </c>
      <c r="AH15" s="17" t="s">
        <v>55</v>
      </c>
      <c r="AI15" s="17" t="s">
        <v>54</v>
      </c>
      <c r="AJ15" s="17" t="s">
        <v>76</v>
      </c>
      <c r="AK15" s="17"/>
      <c r="AL15" s="17"/>
      <c r="AM15" s="38"/>
      <c r="AN15" s="98" t="s">
        <v>411</v>
      </c>
      <c r="AO15" s="18"/>
    </row>
    <row r="16" spans="1:41" ht="54.75" customHeight="1" x14ac:dyDescent="0.25">
      <c r="A16" s="10">
        <v>15</v>
      </c>
      <c r="B16" s="11" t="s">
        <v>38</v>
      </c>
      <c r="C16" s="89">
        <v>45131</v>
      </c>
      <c r="D16" s="17">
        <f t="shared" ca="1" si="0"/>
        <v>7</v>
      </c>
      <c r="E16" s="17"/>
      <c r="F16" s="27" t="s">
        <v>404</v>
      </c>
      <c r="G16" s="27" t="s">
        <v>405</v>
      </c>
      <c r="H16" s="27" t="s">
        <v>406</v>
      </c>
      <c r="I16" s="17" t="s">
        <v>42</v>
      </c>
      <c r="J16" s="17">
        <v>91</v>
      </c>
      <c r="K16" s="38" t="s">
        <v>407</v>
      </c>
      <c r="L16" s="60" t="s">
        <v>72</v>
      </c>
      <c r="M16" s="13" t="s">
        <v>142</v>
      </c>
      <c r="N16" s="89">
        <v>11865</v>
      </c>
      <c r="O16" s="17">
        <v>200636356</v>
      </c>
      <c r="P16" s="17" t="s">
        <v>73</v>
      </c>
      <c r="Q16" s="29" t="s">
        <v>408</v>
      </c>
      <c r="R16" s="29" t="s">
        <v>409</v>
      </c>
      <c r="S16" s="17" t="s">
        <v>64</v>
      </c>
      <c r="T16" s="17" t="s">
        <v>48</v>
      </c>
      <c r="U16" s="13" t="s">
        <v>66</v>
      </c>
      <c r="V16" s="17">
        <v>962110439</v>
      </c>
      <c r="W16" s="17" t="s">
        <v>50</v>
      </c>
      <c r="X16" s="17" t="s">
        <v>52</v>
      </c>
      <c r="Y16" s="17" t="s">
        <v>51</v>
      </c>
      <c r="Z16" s="17" t="s">
        <v>51</v>
      </c>
      <c r="AA16" s="17" t="s">
        <v>51</v>
      </c>
      <c r="AB16" s="17" t="s">
        <v>51</v>
      </c>
      <c r="AC16" s="17" t="s">
        <v>51</v>
      </c>
      <c r="AD16" s="29" t="s">
        <v>51</v>
      </c>
      <c r="AE16" s="17" t="s">
        <v>54</v>
      </c>
      <c r="AF16" s="17" t="s">
        <v>54</v>
      </c>
      <c r="AG16" s="17" t="s">
        <v>76</v>
      </c>
      <c r="AH16" s="17" t="s">
        <v>51</v>
      </c>
      <c r="AI16" s="17" t="s">
        <v>54</v>
      </c>
      <c r="AJ16" s="17" t="s">
        <v>76</v>
      </c>
      <c r="AK16" s="17"/>
      <c r="AL16" s="17"/>
      <c r="AM16" s="38"/>
      <c r="AN16" s="97"/>
      <c r="AO16" s="18"/>
    </row>
    <row r="17" spans="1:41" ht="48" customHeight="1" x14ac:dyDescent="0.25">
      <c r="A17" s="10">
        <v>16</v>
      </c>
      <c r="B17" s="11" t="s">
        <v>38</v>
      </c>
      <c r="C17" s="89">
        <v>45133</v>
      </c>
      <c r="D17" s="17">
        <f t="shared" ca="1" si="0"/>
        <v>5</v>
      </c>
      <c r="E17" s="17"/>
      <c r="F17" s="27" t="s">
        <v>416</v>
      </c>
      <c r="G17" s="27" t="s">
        <v>417</v>
      </c>
      <c r="H17" s="27" t="s">
        <v>418</v>
      </c>
      <c r="I17" s="17" t="s">
        <v>42</v>
      </c>
      <c r="J17" s="17">
        <v>96</v>
      </c>
      <c r="K17" s="38" t="s">
        <v>415</v>
      </c>
      <c r="L17" s="60"/>
      <c r="M17" s="13" t="s">
        <v>142</v>
      </c>
      <c r="N17" s="89">
        <v>9807</v>
      </c>
      <c r="O17" s="17">
        <v>200634425</v>
      </c>
      <c r="P17" s="17" t="s">
        <v>89</v>
      </c>
      <c r="Q17" s="29" t="s">
        <v>419</v>
      </c>
      <c r="R17" s="29" t="s">
        <v>420</v>
      </c>
      <c r="S17" s="17" t="s">
        <v>64</v>
      </c>
      <c r="T17" s="17" t="s">
        <v>48</v>
      </c>
      <c r="U17" s="13" t="s">
        <v>66</v>
      </c>
      <c r="V17" s="17">
        <v>973731714</v>
      </c>
      <c r="W17" s="17" t="s">
        <v>50</v>
      </c>
      <c r="X17" s="17" t="s">
        <v>52</v>
      </c>
      <c r="Y17" s="17" t="s">
        <v>51</v>
      </c>
      <c r="Z17" s="17" t="s">
        <v>51</v>
      </c>
      <c r="AA17" s="17" t="s">
        <v>51</v>
      </c>
      <c r="AB17" s="17" t="s">
        <v>51</v>
      </c>
      <c r="AC17" s="17" t="s">
        <v>51</v>
      </c>
      <c r="AD17" s="29" t="s">
        <v>51</v>
      </c>
      <c r="AE17" s="17" t="s">
        <v>54</v>
      </c>
      <c r="AF17" s="17" t="s">
        <v>54</v>
      </c>
      <c r="AG17" s="17" t="s">
        <v>54</v>
      </c>
      <c r="AH17" s="17" t="s">
        <v>51</v>
      </c>
      <c r="AI17" s="17" t="s">
        <v>51</v>
      </c>
      <c r="AJ17" s="17" t="s">
        <v>76</v>
      </c>
      <c r="AK17" s="17"/>
      <c r="AL17" s="17"/>
      <c r="AM17" s="17"/>
      <c r="AN17" s="18"/>
      <c r="AO17" s="18"/>
    </row>
    <row r="18" spans="1:41" ht="48" customHeight="1" x14ac:dyDescent="0.25">
      <c r="A18" s="10">
        <v>17</v>
      </c>
      <c r="B18" s="11" t="s">
        <v>38</v>
      </c>
      <c r="C18" s="89">
        <v>45134</v>
      </c>
      <c r="D18" s="17">
        <f t="shared" ca="1" si="0"/>
        <v>4</v>
      </c>
      <c r="E18" s="17"/>
      <c r="F18" s="27" t="s">
        <v>422</v>
      </c>
      <c r="G18" s="27" t="s">
        <v>423</v>
      </c>
      <c r="H18" s="27" t="s">
        <v>424</v>
      </c>
      <c r="I18" s="17" t="s">
        <v>42</v>
      </c>
      <c r="J18" s="17">
        <v>87</v>
      </c>
      <c r="K18" s="38" t="s">
        <v>425</v>
      </c>
      <c r="L18" s="60"/>
      <c r="M18" s="13" t="s">
        <v>142</v>
      </c>
      <c r="N18" s="89">
        <v>13335</v>
      </c>
      <c r="O18" s="17">
        <v>20190127782</v>
      </c>
      <c r="P18" s="17" t="s">
        <v>89</v>
      </c>
      <c r="Q18" s="29" t="s">
        <v>74</v>
      </c>
      <c r="R18" s="29" t="s">
        <v>426</v>
      </c>
      <c r="S18" s="17">
        <v>973</v>
      </c>
      <c r="T18" s="17" t="s">
        <v>48</v>
      </c>
      <c r="U18" s="13" t="s">
        <v>49</v>
      </c>
      <c r="V18" s="17">
        <v>422411785</v>
      </c>
      <c r="W18" s="17" t="s">
        <v>50</v>
      </c>
      <c r="X18" s="17" t="s">
        <v>52</v>
      </c>
      <c r="Y18" s="17" t="s">
        <v>51</v>
      </c>
      <c r="Z18" s="17" t="s">
        <v>51</v>
      </c>
      <c r="AA18" s="17" t="s">
        <v>51</v>
      </c>
      <c r="AB18" s="17" t="s">
        <v>54</v>
      </c>
      <c r="AC18" s="17" t="s">
        <v>51</v>
      </c>
      <c r="AD18" s="29" t="s">
        <v>51</v>
      </c>
      <c r="AE18" s="17" t="s">
        <v>54</v>
      </c>
      <c r="AF18" s="17" t="s">
        <v>54</v>
      </c>
      <c r="AG18" s="17" t="s">
        <v>54</v>
      </c>
      <c r="AH18" s="17" t="s">
        <v>51</v>
      </c>
      <c r="AI18" s="17" t="s">
        <v>51</v>
      </c>
      <c r="AJ18" s="17" t="s">
        <v>76</v>
      </c>
      <c r="AK18" s="17"/>
      <c r="AL18" s="17"/>
      <c r="AM18" s="17"/>
      <c r="AN18" s="18"/>
      <c r="AO18" s="18"/>
    </row>
    <row r="19" spans="1:41" ht="49.5" customHeight="1" x14ac:dyDescent="0.25">
      <c r="A19" s="10">
        <v>18</v>
      </c>
      <c r="B19" s="11" t="s">
        <v>38</v>
      </c>
      <c r="C19" s="89">
        <v>45136</v>
      </c>
      <c r="D19" s="17">
        <f t="shared" ca="1" si="0"/>
        <v>2</v>
      </c>
      <c r="E19" s="17"/>
      <c r="F19" s="27" t="s">
        <v>435</v>
      </c>
      <c r="G19" s="27" t="s">
        <v>430</v>
      </c>
      <c r="H19" s="27" t="s">
        <v>431</v>
      </c>
      <c r="I19" s="17" t="s">
        <v>42</v>
      </c>
      <c r="J19" s="17">
        <v>58</v>
      </c>
      <c r="K19" s="38" t="s">
        <v>433</v>
      </c>
      <c r="L19" s="60"/>
      <c r="M19" s="13" t="s">
        <v>177</v>
      </c>
      <c r="N19" s="89">
        <v>23637</v>
      </c>
      <c r="O19" s="17">
        <v>2003019225</v>
      </c>
      <c r="P19" s="17" t="s">
        <v>259</v>
      </c>
      <c r="Q19" s="29" t="s">
        <v>432</v>
      </c>
      <c r="R19" s="29" t="s">
        <v>434</v>
      </c>
      <c r="S19" s="17">
        <v>1125</v>
      </c>
      <c r="T19" s="17" t="s">
        <v>48</v>
      </c>
      <c r="U19" s="13" t="s">
        <v>49</v>
      </c>
      <c r="V19" s="17">
        <v>994119412</v>
      </c>
      <c r="W19" s="17" t="s">
        <v>50</v>
      </c>
      <c r="X19" s="17" t="s">
        <v>51</v>
      </c>
      <c r="Y19" s="17" t="s">
        <v>51</v>
      </c>
      <c r="Z19" s="17" t="s">
        <v>51</v>
      </c>
      <c r="AA19" s="17" t="s">
        <v>51</v>
      </c>
      <c r="AB19" s="17" t="s">
        <v>54</v>
      </c>
      <c r="AC19" s="17" t="s">
        <v>51</v>
      </c>
      <c r="AD19" s="29" t="s">
        <v>51</v>
      </c>
      <c r="AE19" s="17" t="s">
        <v>54</v>
      </c>
      <c r="AF19" s="17" t="s">
        <v>54</v>
      </c>
      <c r="AG19" s="17" t="s">
        <v>54</v>
      </c>
      <c r="AH19" s="17" t="s">
        <v>93</v>
      </c>
      <c r="AI19" s="17" t="s">
        <v>54</v>
      </c>
      <c r="AJ19" s="17" t="s">
        <v>51</v>
      </c>
      <c r="AK19" s="17"/>
      <c r="AL19" s="17"/>
      <c r="AM19" s="17"/>
      <c r="AN19" s="18"/>
      <c r="AO19" s="18"/>
    </row>
    <row r="20" spans="1:41" ht="48" customHeight="1" x14ac:dyDescent="0.25">
      <c r="A20" s="10">
        <v>19</v>
      </c>
      <c r="B20" s="11" t="s">
        <v>38</v>
      </c>
      <c r="C20" s="89">
        <v>45138</v>
      </c>
      <c r="D20" s="17">
        <f t="shared" ca="1" si="0"/>
        <v>0</v>
      </c>
      <c r="E20" s="17"/>
      <c r="F20" s="27" t="s">
        <v>436</v>
      </c>
      <c r="G20" s="27" t="s">
        <v>439</v>
      </c>
      <c r="H20" s="27" t="s">
        <v>248</v>
      </c>
      <c r="I20" s="17" t="s">
        <v>42</v>
      </c>
      <c r="J20" s="17">
        <v>53</v>
      </c>
      <c r="K20" s="38" t="s">
        <v>440</v>
      </c>
      <c r="L20" s="60"/>
      <c r="M20" s="13" t="s">
        <v>173</v>
      </c>
      <c r="N20" s="89">
        <v>25655</v>
      </c>
      <c r="O20" s="17" t="s">
        <v>449</v>
      </c>
      <c r="P20" s="17" t="s">
        <v>89</v>
      </c>
      <c r="Q20" s="29" t="s">
        <v>443</v>
      </c>
      <c r="R20" s="29" t="s">
        <v>446</v>
      </c>
      <c r="S20" s="17">
        <v>523</v>
      </c>
      <c r="T20" s="17" t="s">
        <v>48</v>
      </c>
      <c r="U20" s="13" t="s">
        <v>49</v>
      </c>
      <c r="V20" s="17">
        <v>974036821</v>
      </c>
      <c r="W20" s="17" t="s">
        <v>50</v>
      </c>
      <c r="X20" s="17" t="s">
        <v>52</v>
      </c>
      <c r="Y20" s="17" t="s">
        <v>51</v>
      </c>
      <c r="Z20" s="17" t="s">
        <v>51</v>
      </c>
      <c r="AA20" s="17" t="s">
        <v>51</v>
      </c>
      <c r="AB20" s="17" t="s">
        <v>54</v>
      </c>
      <c r="AC20" s="17" t="s">
        <v>51</v>
      </c>
      <c r="AD20" s="29" t="s">
        <v>51</v>
      </c>
      <c r="AE20" s="17" t="s">
        <v>54</v>
      </c>
      <c r="AF20" s="17" t="s">
        <v>54</v>
      </c>
      <c r="AG20" s="17" t="s">
        <v>54</v>
      </c>
      <c r="AH20" s="17" t="s">
        <v>51</v>
      </c>
      <c r="AI20" s="17" t="s">
        <v>51</v>
      </c>
      <c r="AJ20" s="17" t="s">
        <v>51</v>
      </c>
      <c r="AK20" s="17"/>
      <c r="AL20" s="17"/>
      <c r="AM20" s="17"/>
      <c r="AN20" s="18"/>
      <c r="AO20" s="18"/>
    </row>
    <row r="21" spans="1:41" ht="45.75" customHeight="1" x14ac:dyDescent="0.25">
      <c r="A21" s="10">
        <v>20</v>
      </c>
      <c r="B21" s="11" t="s">
        <v>38</v>
      </c>
      <c r="C21" s="89">
        <v>45138</v>
      </c>
      <c r="D21" s="17">
        <f t="shared" ca="1" si="0"/>
        <v>0</v>
      </c>
      <c r="E21" s="17"/>
      <c r="F21" s="27" t="s">
        <v>56</v>
      </c>
      <c r="G21" s="27" t="s">
        <v>438</v>
      </c>
      <c r="H21" s="27" t="s">
        <v>438</v>
      </c>
      <c r="I21" s="17" t="s">
        <v>59</v>
      </c>
      <c r="J21" s="17">
        <v>74</v>
      </c>
      <c r="K21" s="38" t="s">
        <v>441</v>
      </c>
      <c r="L21" s="60"/>
      <c r="M21" s="13" t="s">
        <v>142</v>
      </c>
      <c r="N21" s="89">
        <v>17853</v>
      </c>
      <c r="O21" s="17">
        <v>99000552</v>
      </c>
      <c r="P21" s="17" t="s">
        <v>61</v>
      </c>
      <c r="Q21" s="29" t="s">
        <v>444</v>
      </c>
      <c r="R21" s="29" t="s">
        <v>447</v>
      </c>
      <c r="S21" s="17" t="s">
        <v>64</v>
      </c>
      <c r="T21" s="13" t="s">
        <v>100</v>
      </c>
      <c r="U21" s="13" t="s">
        <v>66</v>
      </c>
      <c r="V21" s="17">
        <v>978641594</v>
      </c>
      <c r="W21" s="17" t="s">
        <v>50</v>
      </c>
      <c r="X21" s="17" t="s">
        <v>51</v>
      </c>
      <c r="Y21" s="17" t="s">
        <v>51</v>
      </c>
      <c r="Z21" s="17" t="s">
        <v>51</v>
      </c>
      <c r="AA21" s="17" t="s">
        <v>51</v>
      </c>
      <c r="AB21" s="17" t="s">
        <v>76</v>
      </c>
      <c r="AC21" s="17" t="s">
        <v>51</v>
      </c>
      <c r="AD21" s="29" t="s">
        <v>51</v>
      </c>
      <c r="AE21" s="17" t="s">
        <v>54</v>
      </c>
      <c r="AF21" s="17" t="s">
        <v>54</v>
      </c>
      <c r="AG21" s="17" t="s">
        <v>51</v>
      </c>
      <c r="AH21" s="17" t="s">
        <v>51</v>
      </c>
      <c r="AI21" s="17" t="s">
        <v>51</v>
      </c>
      <c r="AJ21" s="17" t="s">
        <v>51</v>
      </c>
      <c r="AK21" s="17"/>
      <c r="AL21" s="17"/>
      <c r="AM21" s="17"/>
      <c r="AN21" s="18"/>
      <c r="AO21" s="18"/>
    </row>
    <row r="22" spans="1:41" ht="43.5" customHeight="1" x14ac:dyDescent="0.25">
      <c r="A22" s="10">
        <v>21</v>
      </c>
      <c r="B22" s="11" t="s">
        <v>38</v>
      </c>
      <c r="C22" s="89">
        <v>45138</v>
      </c>
      <c r="D22" s="17">
        <f t="shared" ca="1" si="0"/>
        <v>0</v>
      </c>
      <c r="E22" s="17"/>
      <c r="F22" s="27" t="s">
        <v>85</v>
      </c>
      <c r="G22" s="27" t="s">
        <v>437</v>
      </c>
      <c r="H22" s="27" t="s">
        <v>207</v>
      </c>
      <c r="I22" s="17" t="s">
        <v>59</v>
      </c>
      <c r="J22" s="17">
        <v>85</v>
      </c>
      <c r="K22" s="38" t="s">
        <v>442</v>
      </c>
      <c r="L22" s="60"/>
      <c r="M22" s="13" t="s">
        <v>142</v>
      </c>
      <c r="N22" s="89">
        <v>13940</v>
      </c>
      <c r="O22" s="17">
        <v>99004803</v>
      </c>
      <c r="P22" s="17" t="s">
        <v>45</v>
      </c>
      <c r="Q22" s="29" t="s">
        <v>445</v>
      </c>
      <c r="R22" s="29" t="s">
        <v>448</v>
      </c>
      <c r="S22" s="17">
        <v>533</v>
      </c>
      <c r="T22" s="17" t="s">
        <v>48</v>
      </c>
      <c r="U22" s="13" t="s">
        <v>49</v>
      </c>
      <c r="V22" s="17">
        <v>948080703</v>
      </c>
      <c r="W22" s="17" t="s">
        <v>50</v>
      </c>
      <c r="X22" s="17" t="s">
        <v>51</v>
      </c>
      <c r="Y22" s="17" t="s">
        <v>51</v>
      </c>
      <c r="Z22" s="17" t="s">
        <v>51</v>
      </c>
      <c r="AA22" s="17" t="s">
        <v>51</v>
      </c>
      <c r="AB22" s="17" t="s">
        <v>76</v>
      </c>
      <c r="AC22" s="17" t="s">
        <v>51</v>
      </c>
      <c r="AD22" s="29" t="s">
        <v>51</v>
      </c>
      <c r="AE22" s="17" t="s">
        <v>54</v>
      </c>
      <c r="AF22" s="17" t="s">
        <v>54</v>
      </c>
      <c r="AG22" s="17" t="s">
        <v>51</v>
      </c>
      <c r="AH22" s="17" t="s">
        <v>51</v>
      </c>
      <c r="AI22" s="17" t="s">
        <v>51</v>
      </c>
      <c r="AJ22" s="17" t="s">
        <v>51</v>
      </c>
      <c r="AK22" s="17"/>
      <c r="AL22" s="17"/>
      <c r="AM22" s="17"/>
      <c r="AN22" s="18"/>
      <c r="AO22" s="18"/>
    </row>
    <row r="23" spans="1:41" ht="45" customHeight="1" x14ac:dyDescent="0.25">
      <c r="A23" s="86"/>
      <c r="B23" s="86"/>
      <c r="C23" s="86"/>
      <c r="D23" s="13"/>
      <c r="E23" s="86"/>
      <c r="F23" s="86"/>
      <c r="G23" s="86"/>
      <c r="H23" s="86"/>
      <c r="I23" s="86"/>
      <c r="J23" s="86"/>
      <c r="K23" s="86"/>
      <c r="L23" s="87"/>
      <c r="M23" s="86"/>
      <c r="N23" s="86"/>
      <c r="O23" s="86"/>
      <c r="P23" s="86"/>
      <c r="Q23" s="86"/>
      <c r="R23" s="86"/>
      <c r="S23" s="86"/>
      <c r="T23" s="86"/>
      <c r="U23" s="87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95"/>
      <c r="AN23" s="86"/>
    </row>
    <row r="24" spans="1:41" ht="45" customHeight="1" x14ac:dyDescent="0.25">
      <c r="A24" s="86"/>
      <c r="B24" s="86"/>
      <c r="C24" s="86"/>
      <c r="D24" s="13"/>
      <c r="E24" s="86"/>
      <c r="F24" s="86"/>
      <c r="G24" s="86"/>
      <c r="H24" s="86"/>
      <c r="I24" s="86"/>
      <c r="J24" s="86"/>
      <c r="K24" s="86"/>
      <c r="L24" s="87"/>
      <c r="M24" s="86"/>
      <c r="N24" s="86"/>
      <c r="O24" s="86"/>
      <c r="P24" s="86"/>
      <c r="Q24" s="86"/>
      <c r="R24" s="86"/>
      <c r="S24" s="86"/>
      <c r="T24" s="86"/>
      <c r="U24" s="87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95"/>
      <c r="AN24" s="86"/>
    </row>
    <row r="25" spans="1:41" ht="45" customHeight="1" x14ac:dyDescent="0.25">
      <c r="A25" s="86"/>
      <c r="B25" s="86"/>
      <c r="C25" s="86"/>
      <c r="D25" s="13"/>
      <c r="E25" s="86"/>
      <c r="F25" s="86"/>
      <c r="G25" s="86"/>
      <c r="H25" s="86"/>
      <c r="I25" s="86"/>
      <c r="J25" s="86"/>
      <c r="K25" s="86"/>
      <c r="L25" s="87"/>
      <c r="M25" s="86"/>
      <c r="N25" s="86"/>
      <c r="O25" s="86"/>
      <c r="P25" s="86"/>
      <c r="Q25" s="86"/>
      <c r="R25" s="86"/>
      <c r="S25" s="86"/>
      <c r="T25" s="86"/>
      <c r="U25" s="87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95"/>
      <c r="AN25" s="86"/>
    </row>
    <row r="26" spans="1:41" ht="45" customHeight="1" x14ac:dyDescent="0.25">
      <c r="A26" s="86"/>
      <c r="B26" s="86"/>
      <c r="C26" s="86"/>
      <c r="D26" s="13"/>
      <c r="E26" s="86"/>
      <c r="F26" s="86"/>
      <c r="G26" s="86"/>
      <c r="H26" s="86"/>
      <c r="I26" s="86"/>
      <c r="J26" s="86"/>
      <c r="K26" s="86"/>
      <c r="L26" s="87"/>
      <c r="M26" s="86"/>
      <c r="N26" s="86"/>
      <c r="O26" s="86"/>
      <c r="P26" s="86"/>
      <c r="Q26" s="86"/>
      <c r="R26" s="86"/>
      <c r="S26" s="86"/>
      <c r="T26" s="86"/>
      <c r="U26" s="87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95"/>
      <c r="AN26" s="86"/>
    </row>
    <row r="27" spans="1:41" ht="45" customHeight="1" x14ac:dyDescent="0.25">
      <c r="A27" s="86"/>
      <c r="B27" s="86"/>
      <c r="C27" s="86"/>
      <c r="D27" s="13"/>
      <c r="E27" s="86"/>
      <c r="F27" s="86"/>
      <c r="G27" s="86"/>
      <c r="H27" s="86"/>
      <c r="I27" s="86"/>
      <c r="J27" s="86"/>
      <c r="K27" s="86"/>
      <c r="L27" s="87"/>
      <c r="M27" s="86"/>
      <c r="N27" s="86"/>
      <c r="O27" s="86"/>
      <c r="P27" s="86"/>
      <c r="Q27" s="86"/>
      <c r="R27" s="86"/>
      <c r="S27" s="86"/>
      <c r="T27" s="86"/>
      <c r="U27" s="87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95"/>
      <c r="AN27" s="86"/>
    </row>
    <row r="28" spans="1:41" ht="45" customHeight="1" x14ac:dyDescent="0.25">
      <c r="A28" s="86"/>
      <c r="B28" s="86"/>
      <c r="C28" s="86"/>
      <c r="D28" s="13"/>
      <c r="E28" s="86"/>
      <c r="F28" s="86"/>
      <c r="G28" s="86"/>
      <c r="H28" s="86"/>
      <c r="I28" s="86"/>
      <c r="J28" s="86"/>
      <c r="K28" s="86"/>
      <c r="L28" s="87"/>
      <c r="M28" s="86"/>
      <c r="N28" s="86"/>
      <c r="O28" s="86"/>
      <c r="P28" s="86"/>
      <c r="Q28" s="86"/>
      <c r="R28" s="86"/>
      <c r="S28" s="86"/>
      <c r="T28" s="86"/>
      <c r="U28" s="87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95"/>
      <c r="AN28" s="86"/>
    </row>
    <row r="29" spans="1:41" ht="45" customHeight="1" x14ac:dyDescent="0.25">
      <c r="A29" s="86"/>
      <c r="B29" s="86"/>
      <c r="C29" s="86"/>
      <c r="D29" s="13"/>
      <c r="E29" s="86"/>
      <c r="F29" s="86"/>
      <c r="G29" s="86"/>
      <c r="H29" s="86"/>
      <c r="I29" s="86"/>
      <c r="J29" s="86"/>
      <c r="K29" s="86"/>
      <c r="L29" s="87"/>
      <c r="M29" s="86"/>
      <c r="N29" s="86"/>
      <c r="O29" s="86"/>
      <c r="P29" s="86"/>
      <c r="Q29" s="86"/>
      <c r="R29" s="86"/>
      <c r="S29" s="86"/>
      <c r="T29" s="86"/>
      <c r="U29" s="87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95"/>
      <c r="AN29" s="86"/>
    </row>
    <row r="30" spans="1:41" ht="45" customHeight="1" x14ac:dyDescent="0.25">
      <c r="A30" s="86"/>
      <c r="B30" s="86"/>
      <c r="C30" s="86"/>
      <c r="D30" s="13"/>
      <c r="E30" s="86"/>
      <c r="F30" s="86"/>
      <c r="G30" s="86"/>
      <c r="H30" s="86"/>
      <c r="I30" s="86"/>
      <c r="J30" s="86"/>
      <c r="K30" s="86"/>
      <c r="L30" s="87"/>
      <c r="M30" s="86"/>
      <c r="N30" s="86"/>
      <c r="O30" s="86"/>
      <c r="P30" s="86"/>
      <c r="Q30" s="86"/>
      <c r="R30" s="86"/>
      <c r="S30" s="86"/>
      <c r="T30" s="86"/>
      <c r="U30" s="87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95"/>
      <c r="AN30" s="86"/>
    </row>
    <row r="31" spans="1:41" ht="45" customHeight="1" x14ac:dyDescent="0.25">
      <c r="A31" s="86"/>
      <c r="B31" s="86"/>
      <c r="C31" s="86"/>
      <c r="D31" s="13"/>
      <c r="E31" s="86"/>
      <c r="F31" s="86"/>
      <c r="G31" s="86"/>
      <c r="H31" s="86"/>
      <c r="I31" s="86"/>
      <c r="J31" s="86"/>
      <c r="K31" s="86"/>
      <c r="L31" s="87"/>
      <c r="M31" s="86"/>
      <c r="N31" s="86"/>
      <c r="O31" s="86"/>
      <c r="P31" s="86"/>
      <c r="Q31" s="86"/>
      <c r="R31" s="86"/>
      <c r="S31" s="86"/>
      <c r="T31" s="86"/>
      <c r="U31" s="87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95"/>
      <c r="AN31" s="86"/>
    </row>
    <row r="32" spans="1:41" ht="45" customHeight="1" x14ac:dyDescent="0.25">
      <c r="A32" s="86"/>
      <c r="B32" s="86"/>
      <c r="C32" s="86"/>
      <c r="D32" s="13"/>
      <c r="E32" s="86"/>
      <c r="F32" s="86"/>
      <c r="G32" s="86"/>
      <c r="H32" s="86"/>
      <c r="I32" s="86"/>
      <c r="J32" s="86"/>
      <c r="K32" s="86"/>
      <c r="L32" s="87"/>
      <c r="M32" s="86"/>
      <c r="N32" s="86"/>
      <c r="O32" s="86"/>
      <c r="P32" s="86"/>
      <c r="Q32" s="86"/>
      <c r="R32" s="86"/>
      <c r="S32" s="86"/>
      <c r="T32" s="86"/>
      <c r="U32" s="87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95"/>
      <c r="AN32" s="86"/>
    </row>
    <row r="33" spans="1:40" ht="45" customHeight="1" x14ac:dyDescent="0.25">
      <c r="A33" s="86"/>
      <c r="B33" s="86"/>
      <c r="C33" s="86"/>
      <c r="D33" s="13"/>
      <c r="E33" s="86"/>
      <c r="F33" s="86"/>
      <c r="G33" s="86"/>
      <c r="H33" s="86"/>
      <c r="I33" s="86"/>
      <c r="J33" s="86"/>
      <c r="K33" s="86"/>
      <c r="L33" s="87"/>
      <c r="M33" s="86"/>
      <c r="N33" s="86"/>
      <c r="O33" s="86"/>
      <c r="P33" s="86"/>
      <c r="Q33" s="86"/>
      <c r="R33" s="86"/>
      <c r="S33" s="86"/>
      <c r="T33" s="86"/>
      <c r="U33" s="87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95"/>
      <c r="AN33" s="86"/>
    </row>
    <row r="34" spans="1:40" ht="45" customHeight="1" x14ac:dyDescent="0.25">
      <c r="A34" s="86"/>
      <c r="B34" s="86"/>
      <c r="C34" s="86"/>
      <c r="D34" s="13"/>
      <c r="E34" s="86"/>
      <c r="F34" s="86"/>
      <c r="G34" s="86"/>
      <c r="H34" s="86"/>
      <c r="I34" s="86"/>
      <c r="J34" s="86"/>
      <c r="K34" s="86"/>
      <c r="L34" s="87"/>
      <c r="M34" s="86"/>
      <c r="N34" s="86"/>
      <c r="O34" s="86"/>
      <c r="P34" s="86"/>
      <c r="Q34" s="86"/>
      <c r="R34" s="86"/>
      <c r="S34" s="86"/>
      <c r="T34" s="86"/>
      <c r="U34" s="87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95"/>
      <c r="AN34" s="86"/>
    </row>
    <row r="35" spans="1:40" ht="45" customHeight="1" x14ac:dyDescent="0.25">
      <c r="A35" s="86"/>
      <c r="B35" s="86"/>
      <c r="C35" s="86"/>
      <c r="D35" s="13"/>
      <c r="E35" s="86"/>
      <c r="F35" s="86"/>
      <c r="G35" s="86"/>
      <c r="H35" s="86"/>
      <c r="I35" s="86"/>
      <c r="J35" s="86"/>
      <c r="K35" s="86"/>
      <c r="L35" s="87"/>
      <c r="M35" s="86"/>
      <c r="N35" s="86"/>
      <c r="O35" s="86"/>
      <c r="P35" s="86"/>
      <c r="Q35" s="86"/>
      <c r="R35" s="86"/>
      <c r="S35" s="86"/>
      <c r="T35" s="86"/>
      <c r="U35" s="87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95"/>
      <c r="AN35" s="86"/>
    </row>
    <row r="36" spans="1:40" ht="45" customHeight="1" x14ac:dyDescent="0.25">
      <c r="A36" s="86"/>
      <c r="B36" s="86"/>
      <c r="C36" s="86"/>
      <c r="D36" s="13"/>
      <c r="E36" s="86"/>
      <c r="F36" s="86"/>
      <c r="G36" s="86"/>
      <c r="H36" s="86"/>
      <c r="I36" s="86"/>
      <c r="J36" s="86"/>
      <c r="K36" s="86"/>
      <c r="L36" s="87"/>
      <c r="M36" s="86"/>
      <c r="N36" s="86"/>
      <c r="O36" s="86"/>
      <c r="P36" s="86"/>
      <c r="Q36" s="86"/>
      <c r="R36" s="86"/>
      <c r="S36" s="86"/>
      <c r="T36" s="86"/>
      <c r="U36" s="87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95"/>
      <c r="AN36" s="86"/>
    </row>
    <row r="37" spans="1:40" ht="45" customHeight="1" x14ac:dyDescent="0.25">
      <c r="A37" s="86"/>
      <c r="B37" s="86"/>
      <c r="C37" s="86"/>
      <c r="D37" s="13"/>
      <c r="E37" s="86"/>
      <c r="F37" s="86"/>
      <c r="G37" s="86"/>
      <c r="H37" s="86"/>
      <c r="I37" s="86"/>
      <c r="J37" s="86"/>
      <c r="K37" s="86"/>
      <c r="L37" s="87"/>
      <c r="M37" s="86"/>
      <c r="N37" s="86"/>
      <c r="O37" s="86"/>
      <c r="P37" s="86"/>
      <c r="Q37" s="86"/>
      <c r="R37" s="86"/>
      <c r="S37" s="86"/>
      <c r="T37" s="86"/>
      <c r="U37" s="87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95"/>
      <c r="AN37" s="86"/>
    </row>
    <row r="38" spans="1:40" ht="45" customHeight="1" x14ac:dyDescent="0.25">
      <c r="A38" s="86"/>
      <c r="B38" s="86"/>
      <c r="C38" s="86"/>
      <c r="D38" s="13"/>
      <c r="E38" s="86"/>
      <c r="F38" s="86"/>
      <c r="G38" s="86"/>
      <c r="H38" s="86"/>
      <c r="I38" s="86"/>
      <c r="J38" s="86"/>
      <c r="K38" s="86"/>
      <c r="L38" s="87"/>
      <c r="M38" s="86"/>
      <c r="N38" s="86"/>
      <c r="O38" s="86"/>
      <c r="P38" s="86"/>
      <c r="Q38" s="86"/>
      <c r="R38" s="86"/>
      <c r="S38" s="86"/>
      <c r="T38" s="86"/>
      <c r="U38" s="87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95"/>
      <c r="AN38" s="86"/>
    </row>
    <row r="39" spans="1:40" ht="45" customHeight="1" x14ac:dyDescent="0.25">
      <c r="A39" s="86"/>
      <c r="B39" s="86"/>
      <c r="C39" s="86"/>
      <c r="D39" s="13"/>
      <c r="E39" s="86"/>
      <c r="F39" s="86"/>
      <c r="G39" s="86"/>
      <c r="H39" s="86"/>
      <c r="I39" s="86"/>
      <c r="J39" s="86"/>
      <c r="K39" s="86"/>
      <c r="L39" s="87"/>
      <c r="M39" s="86"/>
      <c r="N39" s="86"/>
      <c r="O39" s="86"/>
      <c r="P39" s="86"/>
      <c r="Q39" s="86"/>
      <c r="R39" s="86"/>
      <c r="S39" s="86"/>
      <c r="T39" s="86"/>
      <c r="U39" s="87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95"/>
      <c r="AN39" s="86"/>
    </row>
    <row r="40" spans="1:40" ht="45" customHeight="1" x14ac:dyDescent="0.25">
      <c r="A40" s="86"/>
      <c r="B40" s="86"/>
      <c r="C40" s="86"/>
      <c r="D40" s="13"/>
      <c r="E40" s="86"/>
      <c r="F40" s="86"/>
      <c r="G40" s="86"/>
      <c r="H40" s="86"/>
      <c r="I40" s="86"/>
      <c r="J40" s="86"/>
      <c r="K40" s="86"/>
      <c r="L40" s="87"/>
      <c r="M40" s="86"/>
      <c r="N40" s="86"/>
      <c r="O40" s="86"/>
      <c r="P40" s="86"/>
      <c r="Q40" s="86"/>
      <c r="R40" s="86"/>
      <c r="S40" s="86"/>
      <c r="T40" s="86"/>
      <c r="U40" s="87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95"/>
      <c r="AN40" s="86"/>
    </row>
    <row r="41" spans="1:40" ht="45" customHeight="1" x14ac:dyDescent="0.25">
      <c r="A41" s="86"/>
      <c r="B41" s="86"/>
      <c r="C41" s="86"/>
      <c r="D41" s="13"/>
      <c r="E41" s="86"/>
      <c r="F41" s="86"/>
      <c r="G41" s="86"/>
      <c r="H41" s="86"/>
      <c r="I41" s="86"/>
      <c r="J41" s="86"/>
      <c r="K41" s="86"/>
      <c r="L41" s="87"/>
      <c r="M41" s="86"/>
      <c r="N41" s="86"/>
      <c r="O41" s="86"/>
      <c r="P41" s="86"/>
      <c r="Q41" s="86"/>
      <c r="R41" s="86"/>
      <c r="S41" s="86"/>
      <c r="T41" s="86"/>
      <c r="U41" s="87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95"/>
      <c r="AN41" s="86"/>
    </row>
    <row r="42" spans="1:40" ht="45" customHeight="1" x14ac:dyDescent="0.25">
      <c r="A42" s="86"/>
      <c r="B42" s="86"/>
      <c r="C42" s="86"/>
      <c r="D42" s="13"/>
      <c r="E42" s="86"/>
      <c r="F42" s="86"/>
      <c r="G42" s="86"/>
      <c r="H42" s="86"/>
      <c r="I42" s="86"/>
      <c r="J42" s="86"/>
      <c r="K42" s="86"/>
      <c r="L42" s="87"/>
      <c r="M42" s="86"/>
      <c r="N42" s="86"/>
      <c r="O42" s="86"/>
      <c r="P42" s="86"/>
      <c r="Q42" s="86"/>
      <c r="R42" s="86"/>
      <c r="S42" s="86"/>
      <c r="T42" s="86"/>
      <c r="U42" s="87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95"/>
      <c r="AN42" s="86"/>
    </row>
    <row r="43" spans="1:40" ht="45" customHeight="1" x14ac:dyDescent="0.25">
      <c r="A43" s="86"/>
      <c r="B43" s="86"/>
      <c r="C43" s="86"/>
      <c r="D43" s="13"/>
      <c r="E43" s="86"/>
      <c r="F43" s="86"/>
      <c r="G43" s="86"/>
      <c r="H43" s="86"/>
      <c r="I43" s="86"/>
      <c r="J43" s="86"/>
      <c r="K43" s="86"/>
      <c r="L43" s="87"/>
      <c r="M43" s="86"/>
      <c r="N43" s="86"/>
      <c r="O43" s="86"/>
      <c r="P43" s="86"/>
      <c r="Q43" s="86"/>
      <c r="R43" s="86"/>
      <c r="S43" s="86"/>
      <c r="T43" s="86"/>
      <c r="U43" s="87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95"/>
      <c r="AN43" s="86"/>
    </row>
    <row r="44" spans="1:40" ht="45" customHeight="1" x14ac:dyDescent="0.25">
      <c r="A44" s="86"/>
      <c r="B44" s="86"/>
      <c r="C44" s="86"/>
      <c r="D44" s="13"/>
      <c r="E44" s="86"/>
      <c r="F44" s="86"/>
      <c r="G44" s="86"/>
      <c r="H44" s="86"/>
      <c r="I44" s="86"/>
      <c r="J44" s="86"/>
      <c r="K44" s="86"/>
      <c r="L44" s="87"/>
      <c r="M44" s="86"/>
      <c r="N44" s="86"/>
      <c r="O44" s="86"/>
      <c r="P44" s="86"/>
      <c r="Q44" s="86"/>
      <c r="R44" s="86"/>
      <c r="S44" s="86"/>
      <c r="T44" s="86"/>
      <c r="U44" s="87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95"/>
      <c r="AN44" s="86"/>
    </row>
    <row r="45" spans="1:40" ht="45" customHeight="1" x14ac:dyDescent="0.25">
      <c r="A45" s="86"/>
      <c r="B45" s="86"/>
      <c r="C45" s="86"/>
      <c r="D45" s="13"/>
      <c r="E45" s="86"/>
      <c r="F45" s="86"/>
      <c r="G45" s="86"/>
      <c r="H45" s="86"/>
      <c r="I45" s="86"/>
      <c r="J45" s="86"/>
      <c r="K45" s="86"/>
      <c r="L45" s="87"/>
      <c r="M45" s="86"/>
      <c r="N45" s="86"/>
      <c r="O45" s="86"/>
      <c r="P45" s="86"/>
      <c r="Q45" s="86"/>
      <c r="R45" s="86"/>
      <c r="S45" s="86"/>
      <c r="T45" s="86"/>
      <c r="U45" s="87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95"/>
      <c r="AN45" s="86"/>
    </row>
    <row r="46" spans="1:40" ht="45" customHeight="1" x14ac:dyDescent="0.25">
      <c r="A46" s="86"/>
      <c r="B46" s="86"/>
      <c r="C46" s="86"/>
      <c r="D46" s="13"/>
      <c r="E46" s="86"/>
      <c r="F46" s="86"/>
      <c r="G46" s="86"/>
      <c r="H46" s="86"/>
      <c r="I46" s="86"/>
      <c r="J46" s="86"/>
      <c r="K46" s="86"/>
      <c r="L46" s="87"/>
      <c r="M46" s="86"/>
      <c r="N46" s="86"/>
      <c r="O46" s="86"/>
      <c r="P46" s="86"/>
      <c r="Q46" s="86"/>
      <c r="R46" s="86"/>
      <c r="S46" s="86"/>
      <c r="T46" s="86"/>
      <c r="U46" s="87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95"/>
      <c r="AN46" s="86"/>
    </row>
    <row r="47" spans="1:40" ht="45" customHeight="1" x14ac:dyDescent="0.25">
      <c r="A47" s="86"/>
      <c r="B47" s="86"/>
      <c r="C47" s="86"/>
      <c r="D47" s="13"/>
      <c r="E47" s="86"/>
      <c r="F47" s="86"/>
      <c r="G47" s="86"/>
      <c r="H47" s="86"/>
      <c r="I47" s="86"/>
      <c r="J47" s="86"/>
      <c r="K47" s="86"/>
      <c r="L47" s="87"/>
      <c r="M47" s="86"/>
      <c r="N47" s="86"/>
      <c r="O47" s="86"/>
      <c r="P47" s="86"/>
      <c r="Q47" s="86"/>
      <c r="R47" s="86"/>
      <c r="S47" s="86"/>
      <c r="T47" s="86"/>
      <c r="U47" s="87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95"/>
      <c r="AN47" s="86"/>
    </row>
    <row r="48" spans="1:40" ht="45" customHeight="1" x14ac:dyDescent="0.25">
      <c r="A48" s="86"/>
      <c r="B48" s="86"/>
      <c r="C48" s="86"/>
      <c r="D48" s="13"/>
      <c r="E48" s="86"/>
      <c r="F48" s="86"/>
      <c r="G48" s="86"/>
      <c r="H48" s="86"/>
      <c r="I48" s="86"/>
      <c r="J48" s="86"/>
      <c r="K48" s="86"/>
      <c r="L48" s="87"/>
      <c r="M48" s="86"/>
      <c r="N48" s="86"/>
      <c r="O48" s="86"/>
      <c r="P48" s="86"/>
      <c r="Q48" s="86"/>
      <c r="R48" s="86"/>
      <c r="S48" s="86"/>
      <c r="T48" s="86"/>
      <c r="U48" s="87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95"/>
      <c r="AN48" s="86"/>
    </row>
    <row r="49" spans="1:40" ht="45" customHeight="1" x14ac:dyDescent="0.25">
      <c r="A49" s="86"/>
      <c r="B49" s="86"/>
      <c r="C49" s="86"/>
      <c r="D49" s="13"/>
      <c r="E49" s="86"/>
      <c r="F49" s="86"/>
      <c r="G49" s="86"/>
      <c r="H49" s="86"/>
      <c r="I49" s="86"/>
      <c r="J49" s="86"/>
      <c r="K49" s="86"/>
      <c r="L49" s="87"/>
      <c r="M49" s="86"/>
      <c r="N49" s="86"/>
      <c r="O49" s="86"/>
      <c r="P49" s="86"/>
      <c r="Q49" s="86"/>
      <c r="R49" s="86"/>
      <c r="S49" s="86"/>
      <c r="T49" s="86"/>
      <c r="U49" s="87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95"/>
      <c r="AN49" s="86"/>
    </row>
    <row r="50" spans="1:40" ht="45" customHeight="1" x14ac:dyDescent="0.25">
      <c r="A50" s="86"/>
      <c r="B50" s="86"/>
      <c r="C50" s="86"/>
      <c r="D50" s="13"/>
      <c r="E50" s="86"/>
      <c r="F50" s="86"/>
      <c r="G50" s="86"/>
      <c r="H50" s="86"/>
      <c r="I50" s="86"/>
      <c r="J50" s="86"/>
      <c r="K50" s="86"/>
      <c r="L50" s="87"/>
      <c r="M50" s="86"/>
      <c r="N50" s="86"/>
      <c r="O50" s="86"/>
      <c r="P50" s="86"/>
      <c r="Q50" s="86"/>
      <c r="R50" s="86"/>
      <c r="S50" s="86"/>
      <c r="T50" s="86"/>
      <c r="U50" s="87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95"/>
      <c r="AN50" s="86"/>
    </row>
    <row r="51" spans="1:40" ht="45" customHeight="1" x14ac:dyDescent="0.25">
      <c r="A51" s="86"/>
      <c r="B51" s="86"/>
      <c r="C51" s="86"/>
      <c r="D51" s="13"/>
      <c r="E51" s="86"/>
      <c r="F51" s="86"/>
      <c r="G51" s="86"/>
      <c r="H51" s="86"/>
      <c r="I51" s="86"/>
      <c r="J51" s="86"/>
      <c r="K51" s="86"/>
      <c r="L51" s="87"/>
      <c r="M51" s="86"/>
      <c r="N51" s="86"/>
      <c r="O51" s="86"/>
      <c r="P51" s="86"/>
      <c r="Q51" s="86"/>
      <c r="R51" s="86"/>
      <c r="S51" s="86"/>
      <c r="T51" s="86"/>
      <c r="U51" s="87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95"/>
      <c r="AN51" s="86"/>
    </row>
    <row r="52" spans="1:40" ht="45" customHeight="1" x14ac:dyDescent="0.25">
      <c r="A52" s="86"/>
      <c r="B52" s="86"/>
      <c r="C52" s="86"/>
      <c r="D52" s="13"/>
      <c r="E52" s="86"/>
      <c r="F52" s="86"/>
      <c r="G52" s="86"/>
      <c r="H52" s="86"/>
      <c r="I52" s="86"/>
      <c r="J52" s="86"/>
      <c r="K52" s="86"/>
      <c r="L52" s="87"/>
      <c r="M52" s="86"/>
      <c r="N52" s="86"/>
      <c r="O52" s="86"/>
      <c r="P52" s="86"/>
      <c r="Q52" s="86"/>
      <c r="R52" s="86"/>
      <c r="S52" s="86"/>
      <c r="T52" s="86"/>
      <c r="U52" s="87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95"/>
      <c r="AN52" s="86"/>
    </row>
    <row r="53" spans="1:40" ht="45" customHeight="1" x14ac:dyDescent="0.25">
      <c r="A53" s="86"/>
      <c r="B53" s="86"/>
      <c r="C53" s="86"/>
      <c r="D53" s="13"/>
      <c r="E53" s="86"/>
      <c r="F53" s="86"/>
      <c r="G53" s="86"/>
      <c r="H53" s="86"/>
      <c r="I53" s="86"/>
      <c r="J53" s="86"/>
      <c r="K53" s="86"/>
      <c r="L53" s="87"/>
      <c r="M53" s="86"/>
      <c r="N53" s="86"/>
      <c r="O53" s="86"/>
      <c r="P53" s="86"/>
      <c r="Q53" s="86"/>
      <c r="R53" s="86"/>
      <c r="S53" s="86"/>
      <c r="T53" s="86"/>
      <c r="U53" s="87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95"/>
      <c r="AN53" s="86"/>
    </row>
    <row r="54" spans="1:40" ht="45" customHeight="1" x14ac:dyDescent="0.25">
      <c r="A54" s="86"/>
      <c r="B54" s="86"/>
      <c r="C54" s="86"/>
      <c r="D54" s="13"/>
      <c r="E54" s="86"/>
      <c r="F54" s="86"/>
      <c r="G54" s="86"/>
      <c r="H54" s="86"/>
      <c r="I54" s="86"/>
      <c r="J54" s="86"/>
      <c r="K54" s="86"/>
      <c r="L54" s="87"/>
      <c r="M54" s="86"/>
      <c r="N54" s="86"/>
      <c r="O54" s="86"/>
      <c r="P54" s="86"/>
      <c r="Q54" s="86"/>
      <c r="R54" s="86"/>
      <c r="S54" s="86"/>
      <c r="T54" s="86"/>
      <c r="U54" s="87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95"/>
      <c r="AN54" s="86"/>
    </row>
    <row r="55" spans="1:40" ht="45" customHeight="1" x14ac:dyDescent="0.25">
      <c r="A55" s="86"/>
      <c r="B55" s="86"/>
      <c r="C55" s="86"/>
      <c r="D55" s="13"/>
      <c r="E55" s="86"/>
      <c r="F55" s="86"/>
      <c r="G55" s="86"/>
      <c r="H55" s="86"/>
      <c r="I55" s="86"/>
      <c r="J55" s="86"/>
      <c r="K55" s="86"/>
      <c r="L55" s="87"/>
      <c r="M55" s="86"/>
      <c r="N55" s="86"/>
      <c r="O55" s="86"/>
      <c r="P55" s="86"/>
      <c r="Q55" s="86"/>
      <c r="R55" s="86"/>
      <c r="S55" s="86"/>
      <c r="T55" s="86"/>
      <c r="U55" s="87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95"/>
      <c r="AN55" s="86"/>
    </row>
    <row r="56" spans="1:40" ht="45" customHeight="1" x14ac:dyDescent="0.25">
      <c r="A56" s="86"/>
      <c r="B56" s="86"/>
      <c r="C56" s="86"/>
      <c r="D56" s="13"/>
      <c r="E56" s="86"/>
      <c r="F56" s="86"/>
      <c r="G56" s="86"/>
      <c r="H56" s="86"/>
      <c r="I56" s="86"/>
      <c r="J56" s="86"/>
      <c r="K56" s="86"/>
      <c r="L56" s="87"/>
      <c r="M56" s="86"/>
      <c r="N56" s="86"/>
      <c r="O56" s="86"/>
      <c r="P56" s="86"/>
      <c r="Q56" s="86"/>
      <c r="R56" s="86"/>
      <c r="S56" s="86"/>
      <c r="T56" s="86"/>
      <c r="U56" s="87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95"/>
      <c r="AN56" s="86"/>
    </row>
    <row r="57" spans="1:40" ht="45" customHeight="1" x14ac:dyDescent="0.25">
      <c r="A57" s="86"/>
      <c r="B57" s="86"/>
      <c r="C57" s="86"/>
      <c r="D57" s="13"/>
      <c r="E57" s="86"/>
      <c r="F57" s="86"/>
      <c r="G57" s="86"/>
      <c r="H57" s="86"/>
      <c r="I57" s="86"/>
      <c r="J57" s="86"/>
      <c r="K57" s="86"/>
      <c r="L57" s="87"/>
      <c r="M57" s="86"/>
      <c r="N57" s="86"/>
      <c r="O57" s="86"/>
      <c r="P57" s="86"/>
      <c r="Q57" s="86"/>
      <c r="R57" s="86"/>
      <c r="S57" s="86"/>
      <c r="T57" s="86"/>
      <c r="U57" s="87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95"/>
      <c r="AN57" s="86"/>
    </row>
    <row r="58" spans="1:40" ht="45" customHeight="1" x14ac:dyDescent="0.25">
      <c r="A58" s="86"/>
      <c r="B58" s="86"/>
      <c r="C58" s="86"/>
      <c r="D58" s="13"/>
      <c r="E58" s="86"/>
      <c r="F58" s="86"/>
      <c r="G58" s="86"/>
      <c r="H58" s="86"/>
      <c r="I58" s="86"/>
      <c r="J58" s="86"/>
      <c r="K58" s="86"/>
      <c r="L58" s="87"/>
      <c r="M58" s="86"/>
      <c r="N58" s="86"/>
      <c r="O58" s="86"/>
      <c r="P58" s="86"/>
      <c r="Q58" s="86"/>
      <c r="R58" s="86"/>
      <c r="S58" s="86"/>
      <c r="T58" s="86"/>
      <c r="U58" s="87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95"/>
      <c r="AN58" s="86"/>
    </row>
    <row r="59" spans="1:40" ht="45" customHeight="1" x14ac:dyDescent="0.25">
      <c r="A59" s="86"/>
      <c r="B59" s="86"/>
      <c r="C59" s="86"/>
      <c r="D59" s="13"/>
      <c r="E59" s="86"/>
      <c r="F59" s="86"/>
      <c r="G59" s="86"/>
      <c r="H59" s="86"/>
      <c r="I59" s="86"/>
      <c r="J59" s="86"/>
      <c r="K59" s="86"/>
      <c r="L59" s="87"/>
      <c r="M59" s="86"/>
      <c r="N59" s="86"/>
      <c r="O59" s="86"/>
      <c r="P59" s="86"/>
      <c r="Q59" s="86"/>
      <c r="R59" s="86"/>
      <c r="S59" s="86"/>
      <c r="T59" s="86"/>
      <c r="U59" s="87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95"/>
      <c r="AN59" s="86"/>
    </row>
    <row r="60" spans="1:40" ht="45" customHeight="1" x14ac:dyDescent="0.25">
      <c r="A60" s="86"/>
      <c r="B60" s="86"/>
      <c r="C60" s="86"/>
      <c r="D60" s="13"/>
      <c r="E60" s="86"/>
      <c r="F60" s="86"/>
      <c r="G60" s="86"/>
      <c r="H60" s="86"/>
      <c r="I60" s="86"/>
      <c r="J60" s="86"/>
      <c r="K60" s="86"/>
      <c r="L60" s="87"/>
      <c r="M60" s="86"/>
      <c r="N60" s="86"/>
      <c r="O60" s="86"/>
      <c r="P60" s="86"/>
      <c r="Q60" s="86"/>
      <c r="R60" s="86"/>
      <c r="S60" s="86"/>
      <c r="T60" s="86"/>
      <c r="U60" s="87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95"/>
      <c r="AN60" s="86"/>
    </row>
    <row r="61" spans="1:40" ht="45" customHeight="1" x14ac:dyDescent="0.25">
      <c r="A61" s="86"/>
      <c r="B61" s="86"/>
      <c r="C61" s="86"/>
      <c r="D61" s="13"/>
      <c r="E61" s="86"/>
      <c r="F61" s="86"/>
      <c r="G61" s="86"/>
      <c r="H61" s="86"/>
      <c r="I61" s="86"/>
      <c r="J61" s="86"/>
      <c r="K61" s="86"/>
      <c r="L61" s="87"/>
      <c r="M61" s="86"/>
      <c r="N61" s="86"/>
      <c r="O61" s="86"/>
      <c r="P61" s="86"/>
      <c r="Q61" s="86"/>
      <c r="R61" s="86"/>
      <c r="S61" s="86"/>
      <c r="T61" s="86"/>
      <c r="U61" s="87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95"/>
      <c r="AN61" s="86"/>
    </row>
    <row r="62" spans="1:40" ht="45" customHeight="1" x14ac:dyDescent="0.25">
      <c r="A62" s="86"/>
      <c r="B62" s="86"/>
      <c r="C62" s="86"/>
      <c r="D62" s="13"/>
      <c r="E62" s="86"/>
      <c r="F62" s="86"/>
      <c r="G62" s="86"/>
      <c r="H62" s="86"/>
      <c r="I62" s="86"/>
      <c r="J62" s="86"/>
      <c r="K62" s="86"/>
      <c r="L62" s="87"/>
      <c r="M62" s="86"/>
      <c r="N62" s="86"/>
      <c r="O62" s="86"/>
      <c r="P62" s="86"/>
      <c r="Q62" s="86"/>
      <c r="R62" s="86"/>
      <c r="S62" s="86"/>
      <c r="T62" s="86"/>
      <c r="U62" s="87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95"/>
      <c r="AN62" s="86"/>
    </row>
    <row r="63" spans="1:40" ht="45" customHeight="1" x14ac:dyDescent="0.25">
      <c r="A63" s="86"/>
      <c r="B63" s="86"/>
      <c r="C63" s="86"/>
      <c r="D63" s="13"/>
      <c r="E63" s="86"/>
      <c r="F63" s="86"/>
      <c r="G63" s="86"/>
      <c r="H63" s="86"/>
      <c r="I63" s="86"/>
      <c r="J63" s="86"/>
      <c r="K63" s="86"/>
      <c r="L63" s="87"/>
      <c r="M63" s="86"/>
      <c r="N63" s="86"/>
      <c r="O63" s="86"/>
      <c r="P63" s="86"/>
      <c r="Q63" s="86"/>
      <c r="R63" s="86"/>
      <c r="S63" s="86"/>
      <c r="T63" s="86"/>
      <c r="U63" s="87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95"/>
      <c r="AN63" s="86"/>
    </row>
    <row r="64" spans="1:40" ht="45" customHeight="1" x14ac:dyDescent="0.25">
      <c r="A64" s="86"/>
      <c r="B64" s="86"/>
      <c r="C64" s="86"/>
      <c r="D64" s="13"/>
      <c r="E64" s="86"/>
      <c r="F64" s="86"/>
      <c r="G64" s="86"/>
      <c r="H64" s="86"/>
      <c r="I64" s="86"/>
      <c r="J64" s="86"/>
      <c r="K64" s="86"/>
      <c r="L64" s="87"/>
      <c r="M64" s="86"/>
      <c r="N64" s="86"/>
      <c r="O64" s="86"/>
      <c r="P64" s="86"/>
      <c r="Q64" s="86"/>
      <c r="R64" s="86"/>
      <c r="S64" s="86"/>
      <c r="T64" s="86"/>
      <c r="U64" s="87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95"/>
      <c r="AN64" s="86"/>
    </row>
    <row r="65" spans="1:40" ht="45" customHeight="1" x14ac:dyDescent="0.25">
      <c r="A65" s="86"/>
      <c r="B65" s="86"/>
      <c r="C65" s="86"/>
      <c r="D65" s="13"/>
      <c r="E65" s="86"/>
      <c r="F65" s="86"/>
      <c r="G65" s="86"/>
      <c r="H65" s="86"/>
      <c r="I65" s="86"/>
      <c r="J65" s="86"/>
      <c r="K65" s="86"/>
      <c r="L65" s="87"/>
      <c r="M65" s="86"/>
      <c r="N65" s="86"/>
      <c r="O65" s="86"/>
      <c r="P65" s="86"/>
      <c r="Q65" s="86"/>
      <c r="R65" s="86"/>
      <c r="S65" s="86"/>
      <c r="T65" s="86"/>
      <c r="U65" s="87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95"/>
      <c r="AN65" s="86"/>
    </row>
    <row r="66" spans="1:40" ht="45" customHeight="1" x14ac:dyDescent="0.25">
      <c r="A66" s="86"/>
      <c r="B66" s="86"/>
      <c r="C66" s="86"/>
      <c r="D66" s="13"/>
      <c r="E66" s="86"/>
      <c r="F66" s="86"/>
      <c r="G66" s="86"/>
      <c r="H66" s="86"/>
      <c r="I66" s="86"/>
      <c r="J66" s="86"/>
      <c r="K66" s="86"/>
      <c r="L66" s="87"/>
      <c r="M66" s="86"/>
      <c r="N66" s="86"/>
      <c r="O66" s="86"/>
      <c r="P66" s="86"/>
      <c r="Q66" s="86"/>
      <c r="R66" s="86"/>
      <c r="S66" s="86"/>
      <c r="T66" s="86"/>
      <c r="U66" s="87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95"/>
      <c r="AN66" s="86"/>
    </row>
    <row r="67" spans="1:40" ht="45" customHeight="1" x14ac:dyDescent="0.25">
      <c r="A67" s="86"/>
      <c r="B67" s="86"/>
      <c r="C67" s="86"/>
      <c r="D67" s="13"/>
      <c r="E67" s="86"/>
      <c r="F67" s="86"/>
      <c r="G67" s="86"/>
      <c r="H67" s="86"/>
      <c r="I67" s="86"/>
      <c r="J67" s="86"/>
      <c r="K67" s="86"/>
      <c r="L67" s="87"/>
      <c r="M67" s="86"/>
      <c r="N67" s="86"/>
      <c r="O67" s="86"/>
      <c r="P67" s="86"/>
      <c r="Q67" s="86"/>
      <c r="R67" s="86"/>
      <c r="S67" s="86"/>
      <c r="T67" s="86"/>
      <c r="U67" s="87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95"/>
      <c r="AN67" s="86"/>
    </row>
    <row r="68" spans="1:40" ht="45" customHeight="1" x14ac:dyDescent="0.25">
      <c r="A68" s="86"/>
      <c r="B68" s="86"/>
      <c r="C68" s="86"/>
      <c r="D68" s="13"/>
      <c r="E68" s="86"/>
      <c r="F68" s="86"/>
      <c r="G68" s="86"/>
      <c r="H68" s="86"/>
      <c r="I68" s="86"/>
      <c r="J68" s="86"/>
      <c r="K68" s="86"/>
      <c r="L68" s="87"/>
      <c r="M68" s="86"/>
      <c r="N68" s="86"/>
      <c r="O68" s="86"/>
      <c r="P68" s="86"/>
      <c r="Q68" s="86"/>
      <c r="R68" s="86"/>
      <c r="S68" s="86"/>
      <c r="T68" s="86"/>
      <c r="U68" s="87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95"/>
      <c r="AN68" s="86"/>
    </row>
    <row r="69" spans="1:40" ht="45" customHeight="1" x14ac:dyDescent="0.25">
      <c r="A69" s="86"/>
      <c r="B69" s="86"/>
      <c r="C69" s="86"/>
      <c r="D69" s="13"/>
      <c r="E69" s="86"/>
      <c r="F69" s="86"/>
      <c r="G69" s="86"/>
      <c r="H69" s="86"/>
      <c r="I69" s="86"/>
      <c r="J69" s="86"/>
      <c r="K69" s="86"/>
      <c r="L69" s="87"/>
      <c r="M69" s="86"/>
      <c r="N69" s="86"/>
      <c r="O69" s="86"/>
      <c r="P69" s="86"/>
      <c r="Q69" s="86"/>
      <c r="R69" s="86"/>
      <c r="S69" s="86"/>
      <c r="T69" s="86"/>
      <c r="U69" s="87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95"/>
      <c r="AN69" s="86"/>
    </row>
    <row r="70" spans="1:40" ht="45" customHeight="1" x14ac:dyDescent="0.25">
      <c r="A70" s="86"/>
      <c r="B70" s="86"/>
      <c r="C70" s="86"/>
      <c r="D70" s="13"/>
      <c r="E70" s="86"/>
      <c r="F70" s="86"/>
      <c r="G70" s="86"/>
      <c r="H70" s="86"/>
      <c r="I70" s="86"/>
      <c r="J70" s="86"/>
      <c r="K70" s="86"/>
      <c r="L70" s="87"/>
      <c r="M70" s="86"/>
      <c r="N70" s="86"/>
      <c r="O70" s="86"/>
      <c r="P70" s="86"/>
      <c r="Q70" s="86"/>
      <c r="R70" s="86"/>
      <c r="S70" s="86"/>
      <c r="T70" s="86"/>
      <c r="U70" s="87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95"/>
      <c r="AN70" s="86"/>
    </row>
    <row r="71" spans="1:40" ht="45" customHeight="1" x14ac:dyDescent="0.25">
      <c r="A71" s="86"/>
      <c r="B71" s="86"/>
      <c r="C71" s="86"/>
      <c r="D71" s="13"/>
      <c r="E71" s="86"/>
      <c r="F71" s="86"/>
      <c r="G71" s="86"/>
      <c r="H71" s="86"/>
      <c r="I71" s="86"/>
      <c r="J71" s="86"/>
      <c r="K71" s="86"/>
      <c r="L71" s="87"/>
      <c r="M71" s="86"/>
      <c r="N71" s="86"/>
      <c r="O71" s="86"/>
      <c r="P71" s="86"/>
      <c r="Q71" s="86"/>
      <c r="R71" s="86"/>
      <c r="S71" s="86"/>
      <c r="T71" s="86"/>
      <c r="U71" s="87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95"/>
      <c r="AN71" s="86"/>
    </row>
    <row r="72" spans="1:40" ht="45" customHeight="1" x14ac:dyDescent="0.25">
      <c r="A72" s="86"/>
      <c r="B72" s="86"/>
      <c r="C72" s="86"/>
      <c r="D72" s="13"/>
      <c r="E72" s="86"/>
      <c r="F72" s="86"/>
      <c r="G72" s="86"/>
      <c r="H72" s="86"/>
      <c r="I72" s="86"/>
      <c r="J72" s="86"/>
      <c r="K72" s="86"/>
      <c r="L72" s="87"/>
      <c r="M72" s="86"/>
      <c r="N72" s="86"/>
      <c r="O72" s="86"/>
      <c r="P72" s="86"/>
      <c r="Q72" s="86"/>
      <c r="R72" s="86"/>
      <c r="S72" s="86"/>
      <c r="T72" s="86"/>
      <c r="U72" s="87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95"/>
      <c r="AN72" s="86"/>
    </row>
    <row r="73" spans="1:40" ht="45" customHeight="1" x14ac:dyDescent="0.25">
      <c r="A73" s="86"/>
      <c r="B73" s="86"/>
      <c r="C73" s="86"/>
      <c r="D73" s="13"/>
      <c r="E73" s="86"/>
      <c r="F73" s="86"/>
      <c r="G73" s="86"/>
      <c r="H73" s="86"/>
      <c r="I73" s="86"/>
      <c r="J73" s="86"/>
      <c r="K73" s="86"/>
      <c r="L73" s="87"/>
      <c r="M73" s="86"/>
      <c r="N73" s="86"/>
      <c r="O73" s="86"/>
      <c r="P73" s="86"/>
      <c r="Q73" s="86"/>
      <c r="R73" s="86"/>
      <c r="S73" s="86"/>
      <c r="T73" s="86"/>
      <c r="U73" s="87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95"/>
      <c r="AN73" s="86"/>
    </row>
    <row r="74" spans="1:40" ht="45" customHeight="1" x14ac:dyDescent="0.25">
      <c r="A74" s="86"/>
      <c r="B74" s="86"/>
      <c r="C74" s="86"/>
      <c r="D74" s="13"/>
      <c r="E74" s="86"/>
      <c r="F74" s="86"/>
      <c r="G74" s="86"/>
      <c r="H74" s="86"/>
      <c r="I74" s="86"/>
      <c r="J74" s="86"/>
      <c r="K74" s="86"/>
      <c r="L74" s="87"/>
      <c r="M74" s="86"/>
      <c r="N74" s="86"/>
      <c r="O74" s="86"/>
      <c r="P74" s="86"/>
      <c r="Q74" s="86"/>
      <c r="R74" s="86"/>
      <c r="S74" s="86"/>
      <c r="T74" s="86"/>
      <c r="U74" s="87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95"/>
      <c r="AN74" s="86"/>
    </row>
    <row r="75" spans="1:40" ht="45" customHeight="1" x14ac:dyDescent="0.25">
      <c r="A75" s="86"/>
      <c r="B75" s="86"/>
      <c r="C75" s="86"/>
      <c r="D75" s="13"/>
      <c r="E75" s="86"/>
      <c r="F75" s="86"/>
      <c r="G75" s="86"/>
      <c r="H75" s="86"/>
      <c r="I75" s="86"/>
      <c r="J75" s="86"/>
      <c r="K75" s="86"/>
      <c r="L75" s="87"/>
      <c r="M75" s="86"/>
      <c r="N75" s="86"/>
      <c r="O75" s="86"/>
      <c r="P75" s="86"/>
      <c r="Q75" s="86"/>
      <c r="R75" s="86"/>
      <c r="S75" s="86"/>
      <c r="T75" s="86"/>
      <c r="U75" s="87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95"/>
      <c r="AN75" s="86"/>
    </row>
    <row r="76" spans="1:40" ht="45" customHeight="1" x14ac:dyDescent="0.25">
      <c r="A76" s="86"/>
      <c r="B76" s="86"/>
      <c r="C76" s="86"/>
      <c r="D76" s="13"/>
      <c r="E76" s="86"/>
      <c r="F76" s="86"/>
      <c r="G76" s="86"/>
      <c r="H76" s="86"/>
      <c r="I76" s="86"/>
      <c r="J76" s="86"/>
      <c r="K76" s="86"/>
      <c r="L76" s="87"/>
      <c r="M76" s="86"/>
      <c r="N76" s="86"/>
      <c r="O76" s="86"/>
      <c r="P76" s="86"/>
      <c r="Q76" s="86"/>
      <c r="R76" s="86"/>
      <c r="S76" s="86"/>
      <c r="T76" s="86"/>
      <c r="U76" s="87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95"/>
      <c r="AN76" s="86"/>
    </row>
    <row r="77" spans="1:40" ht="45" customHeight="1" x14ac:dyDescent="0.25">
      <c r="A77" s="86"/>
      <c r="B77" s="86"/>
      <c r="C77" s="86"/>
      <c r="D77" s="13"/>
      <c r="E77" s="86"/>
      <c r="F77" s="86"/>
      <c r="G77" s="86"/>
      <c r="H77" s="86"/>
      <c r="I77" s="86"/>
      <c r="J77" s="86"/>
      <c r="K77" s="86"/>
      <c r="L77" s="87"/>
      <c r="M77" s="86"/>
      <c r="N77" s="86"/>
      <c r="O77" s="86"/>
      <c r="P77" s="86"/>
      <c r="Q77" s="86"/>
      <c r="R77" s="86"/>
      <c r="S77" s="86"/>
      <c r="T77" s="86"/>
      <c r="U77" s="87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95"/>
      <c r="AN77" s="86"/>
    </row>
    <row r="78" spans="1:40" ht="45" customHeight="1" x14ac:dyDescent="0.25">
      <c r="A78" s="86"/>
      <c r="B78" s="86"/>
      <c r="C78" s="86"/>
      <c r="D78" s="13"/>
      <c r="E78" s="86"/>
      <c r="F78" s="86"/>
      <c r="G78" s="86"/>
      <c r="H78" s="86"/>
      <c r="I78" s="86"/>
      <c r="J78" s="86"/>
      <c r="K78" s="86"/>
      <c r="L78" s="87"/>
      <c r="M78" s="86"/>
      <c r="N78" s="86"/>
      <c r="O78" s="86"/>
      <c r="P78" s="86"/>
      <c r="Q78" s="86"/>
      <c r="R78" s="86"/>
      <c r="S78" s="86"/>
      <c r="T78" s="86"/>
      <c r="U78" s="87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95"/>
      <c r="AN78" s="86"/>
    </row>
    <row r="79" spans="1:40" ht="45" customHeight="1" x14ac:dyDescent="0.25">
      <c r="A79" s="86"/>
      <c r="B79" s="86"/>
      <c r="C79" s="86"/>
      <c r="D79" s="13"/>
      <c r="E79" s="86"/>
      <c r="F79" s="86"/>
      <c r="G79" s="86"/>
      <c r="H79" s="86"/>
      <c r="I79" s="86"/>
      <c r="J79" s="86"/>
      <c r="K79" s="86"/>
      <c r="L79" s="87"/>
      <c r="M79" s="86"/>
      <c r="N79" s="86"/>
      <c r="O79" s="86"/>
      <c r="P79" s="86"/>
      <c r="Q79" s="86"/>
      <c r="R79" s="86"/>
      <c r="S79" s="86"/>
      <c r="T79" s="86"/>
      <c r="U79" s="87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95"/>
      <c r="AN79" s="86"/>
    </row>
    <row r="80" spans="1:40" ht="45" customHeight="1" x14ac:dyDescent="0.25">
      <c r="A80" s="86"/>
      <c r="B80" s="86"/>
      <c r="C80" s="86"/>
      <c r="D80" s="13"/>
      <c r="E80" s="86"/>
      <c r="F80" s="86"/>
      <c r="G80" s="86"/>
      <c r="H80" s="86"/>
      <c r="I80" s="86"/>
      <c r="J80" s="86"/>
      <c r="K80" s="86"/>
      <c r="L80" s="87"/>
      <c r="M80" s="86"/>
      <c r="N80" s="86"/>
      <c r="O80" s="86"/>
      <c r="P80" s="86"/>
      <c r="Q80" s="86"/>
      <c r="R80" s="86"/>
      <c r="S80" s="86"/>
      <c r="T80" s="86"/>
      <c r="U80" s="87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95"/>
      <c r="AN80" s="86"/>
    </row>
    <row r="81" spans="1:40" ht="45" customHeight="1" x14ac:dyDescent="0.25">
      <c r="A81" s="86"/>
      <c r="B81" s="86"/>
      <c r="C81" s="86"/>
      <c r="D81" s="13"/>
      <c r="E81" s="86"/>
      <c r="F81" s="86"/>
      <c r="G81" s="86"/>
      <c r="H81" s="86"/>
      <c r="I81" s="86"/>
      <c r="J81" s="86"/>
      <c r="K81" s="86"/>
      <c r="L81" s="87"/>
      <c r="M81" s="86"/>
      <c r="N81" s="86"/>
      <c r="O81" s="86"/>
      <c r="P81" s="86"/>
      <c r="Q81" s="86"/>
      <c r="R81" s="86"/>
      <c r="S81" s="86"/>
      <c r="T81" s="86"/>
      <c r="U81" s="87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95"/>
      <c r="AN81" s="86"/>
    </row>
    <row r="82" spans="1:40" ht="45" customHeight="1" x14ac:dyDescent="0.25">
      <c r="A82" s="86"/>
      <c r="B82" s="86"/>
      <c r="C82" s="86"/>
      <c r="D82" s="13"/>
      <c r="E82" s="86"/>
      <c r="F82" s="86"/>
      <c r="G82" s="86"/>
      <c r="H82" s="86"/>
      <c r="I82" s="86"/>
      <c r="J82" s="86"/>
      <c r="K82" s="86"/>
      <c r="L82" s="87"/>
      <c r="M82" s="86"/>
      <c r="N82" s="86"/>
      <c r="O82" s="86"/>
      <c r="P82" s="86"/>
      <c r="Q82" s="86"/>
      <c r="R82" s="86"/>
      <c r="S82" s="86"/>
      <c r="T82" s="86"/>
      <c r="U82" s="87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95"/>
      <c r="AN82" s="86"/>
    </row>
    <row r="83" spans="1:40" ht="45" customHeight="1" x14ac:dyDescent="0.25">
      <c r="A83" s="86"/>
      <c r="B83" s="86"/>
      <c r="C83" s="86"/>
      <c r="D83" s="13"/>
      <c r="E83" s="86"/>
      <c r="F83" s="86"/>
      <c r="G83" s="86"/>
      <c r="H83" s="86"/>
      <c r="I83" s="86"/>
      <c r="J83" s="86"/>
      <c r="K83" s="86"/>
      <c r="L83" s="87"/>
      <c r="M83" s="86"/>
      <c r="N83" s="86"/>
      <c r="O83" s="86"/>
      <c r="P83" s="86"/>
      <c r="Q83" s="86"/>
      <c r="R83" s="86"/>
      <c r="S83" s="86"/>
      <c r="T83" s="86"/>
      <c r="U83" s="87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95"/>
      <c r="AN83" s="86"/>
    </row>
    <row r="84" spans="1:40" ht="45" customHeight="1" x14ac:dyDescent="0.25">
      <c r="A84" s="86"/>
      <c r="B84" s="86"/>
      <c r="C84" s="86"/>
      <c r="D84" s="13"/>
      <c r="E84" s="86"/>
      <c r="F84" s="86"/>
      <c r="G84" s="86"/>
      <c r="H84" s="86"/>
      <c r="I84" s="86"/>
      <c r="J84" s="86"/>
      <c r="K84" s="86"/>
      <c r="L84" s="87"/>
      <c r="M84" s="86"/>
      <c r="N84" s="86"/>
      <c r="O84" s="86"/>
      <c r="P84" s="86"/>
      <c r="Q84" s="86"/>
      <c r="R84" s="86"/>
      <c r="S84" s="86"/>
      <c r="T84" s="86"/>
      <c r="U84" s="87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95"/>
      <c r="AN84" s="86"/>
    </row>
    <row r="85" spans="1:40" ht="45" customHeight="1" x14ac:dyDescent="0.25">
      <c r="A85" s="86"/>
      <c r="B85" s="86"/>
      <c r="C85" s="86"/>
      <c r="D85" s="13"/>
      <c r="E85" s="86"/>
      <c r="F85" s="86"/>
      <c r="G85" s="86"/>
      <c r="H85" s="86"/>
      <c r="I85" s="86"/>
      <c r="J85" s="86"/>
      <c r="K85" s="86"/>
      <c r="L85" s="87"/>
      <c r="M85" s="86"/>
      <c r="N85" s="86"/>
      <c r="O85" s="86"/>
      <c r="P85" s="86"/>
      <c r="Q85" s="86"/>
      <c r="R85" s="86"/>
      <c r="S85" s="86"/>
      <c r="T85" s="86"/>
      <c r="U85" s="87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95"/>
      <c r="AN85" s="86"/>
    </row>
    <row r="86" spans="1:40" ht="45" customHeight="1" x14ac:dyDescent="0.25">
      <c r="A86" s="86"/>
      <c r="B86" s="86"/>
      <c r="C86" s="86"/>
      <c r="D86" s="13"/>
      <c r="E86" s="86"/>
      <c r="F86" s="86"/>
      <c r="G86" s="86"/>
      <c r="H86" s="86"/>
      <c r="I86" s="86"/>
      <c r="J86" s="86"/>
      <c r="K86" s="86"/>
      <c r="L86" s="87"/>
      <c r="M86" s="86"/>
      <c r="N86" s="86"/>
      <c r="O86" s="86"/>
      <c r="P86" s="86"/>
      <c r="Q86" s="86"/>
      <c r="R86" s="86"/>
      <c r="S86" s="86"/>
      <c r="T86" s="86"/>
      <c r="U86" s="87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95"/>
      <c r="AN86" s="86"/>
    </row>
    <row r="87" spans="1:40" ht="45" customHeight="1" x14ac:dyDescent="0.25">
      <c r="A87" s="86"/>
      <c r="B87" s="86"/>
      <c r="C87" s="86"/>
      <c r="D87" s="13"/>
      <c r="E87" s="86"/>
      <c r="F87" s="86"/>
      <c r="G87" s="86"/>
      <c r="H87" s="86"/>
      <c r="I87" s="86"/>
      <c r="J87" s="86"/>
      <c r="K87" s="86"/>
      <c r="L87" s="87"/>
      <c r="M87" s="86"/>
      <c r="N87" s="86"/>
      <c r="O87" s="86"/>
      <c r="P87" s="86"/>
      <c r="Q87" s="86"/>
      <c r="R87" s="86"/>
      <c r="S87" s="86"/>
      <c r="T87" s="86"/>
      <c r="U87" s="87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95"/>
      <c r="AN87" s="86"/>
    </row>
    <row r="88" spans="1:40" ht="45" customHeight="1" x14ac:dyDescent="0.25">
      <c r="A88" s="86"/>
      <c r="B88" s="86"/>
      <c r="C88" s="86"/>
      <c r="D88" s="13"/>
      <c r="E88" s="86"/>
      <c r="F88" s="86"/>
      <c r="G88" s="86"/>
      <c r="H88" s="86"/>
      <c r="I88" s="86"/>
      <c r="J88" s="86"/>
      <c r="K88" s="86"/>
      <c r="L88" s="87"/>
      <c r="M88" s="86"/>
      <c r="N88" s="86"/>
      <c r="O88" s="86"/>
      <c r="P88" s="86"/>
      <c r="Q88" s="86"/>
      <c r="R88" s="86"/>
      <c r="S88" s="86"/>
      <c r="T88" s="86"/>
      <c r="U88" s="87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95"/>
      <c r="AN88" s="86"/>
    </row>
    <row r="89" spans="1:40" ht="45" customHeight="1" x14ac:dyDescent="0.25">
      <c r="A89" s="86"/>
      <c r="B89" s="86"/>
      <c r="C89" s="86"/>
      <c r="D89" s="13"/>
      <c r="E89" s="86"/>
      <c r="F89" s="86"/>
      <c r="G89" s="86"/>
      <c r="H89" s="86"/>
      <c r="I89" s="86"/>
      <c r="J89" s="86"/>
      <c r="K89" s="86"/>
      <c r="L89" s="87"/>
      <c r="M89" s="86"/>
      <c r="N89" s="86"/>
      <c r="O89" s="86"/>
      <c r="P89" s="86"/>
      <c r="Q89" s="86"/>
      <c r="R89" s="86"/>
      <c r="S89" s="86"/>
      <c r="T89" s="86"/>
      <c r="U89" s="87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95"/>
      <c r="AN89" s="86"/>
    </row>
    <row r="90" spans="1:40" ht="45" customHeight="1" x14ac:dyDescent="0.25">
      <c r="A90" s="86"/>
      <c r="B90" s="86"/>
      <c r="C90" s="86"/>
      <c r="D90" s="13"/>
      <c r="E90" s="86"/>
      <c r="F90" s="86"/>
      <c r="G90" s="86"/>
      <c r="H90" s="86"/>
      <c r="I90" s="86"/>
      <c r="J90" s="86"/>
      <c r="K90" s="86"/>
      <c r="L90" s="87"/>
      <c r="M90" s="86"/>
      <c r="N90" s="86"/>
      <c r="O90" s="86"/>
      <c r="P90" s="86"/>
      <c r="Q90" s="86"/>
      <c r="R90" s="86"/>
      <c r="S90" s="86"/>
      <c r="T90" s="86"/>
      <c r="U90" s="87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95"/>
      <c r="AN90" s="86"/>
    </row>
    <row r="91" spans="1:40" ht="45" customHeight="1" x14ac:dyDescent="0.25">
      <c r="A91" s="86"/>
      <c r="B91" s="86"/>
      <c r="C91" s="86"/>
      <c r="D91" s="13"/>
      <c r="E91" s="86"/>
      <c r="F91" s="86"/>
      <c r="G91" s="86"/>
      <c r="H91" s="86"/>
      <c r="I91" s="86"/>
      <c r="J91" s="86"/>
      <c r="K91" s="86"/>
      <c r="L91" s="87"/>
      <c r="M91" s="86"/>
      <c r="N91" s="86"/>
      <c r="O91" s="86"/>
      <c r="P91" s="86"/>
      <c r="Q91" s="86"/>
      <c r="R91" s="86"/>
      <c r="S91" s="86"/>
      <c r="T91" s="86"/>
      <c r="U91" s="87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95"/>
      <c r="AN91" s="86"/>
    </row>
    <row r="92" spans="1:40" ht="45" customHeight="1" x14ac:dyDescent="0.25">
      <c r="A92" s="86"/>
      <c r="B92" s="86"/>
      <c r="C92" s="86"/>
      <c r="D92" s="13"/>
      <c r="E92" s="86"/>
      <c r="F92" s="86"/>
      <c r="G92" s="86"/>
      <c r="H92" s="86"/>
      <c r="I92" s="86"/>
      <c r="J92" s="86"/>
      <c r="K92" s="86"/>
      <c r="L92" s="87"/>
      <c r="M92" s="86"/>
      <c r="N92" s="86"/>
      <c r="O92" s="86"/>
      <c r="P92" s="86"/>
      <c r="Q92" s="86"/>
      <c r="R92" s="86"/>
      <c r="S92" s="86"/>
      <c r="T92" s="86"/>
      <c r="U92" s="87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95"/>
      <c r="AN92" s="86"/>
    </row>
    <row r="93" spans="1:40" ht="45" customHeight="1" x14ac:dyDescent="0.25">
      <c r="A93" s="86"/>
      <c r="B93" s="86"/>
      <c r="C93" s="86"/>
      <c r="D93" s="13"/>
      <c r="E93" s="86"/>
      <c r="F93" s="86"/>
      <c r="G93" s="86"/>
      <c r="H93" s="86"/>
      <c r="I93" s="86"/>
      <c r="J93" s="86"/>
      <c r="K93" s="86"/>
      <c r="L93" s="87"/>
      <c r="M93" s="86"/>
      <c r="N93" s="86"/>
      <c r="O93" s="86"/>
      <c r="P93" s="86"/>
      <c r="Q93" s="86"/>
      <c r="R93" s="86"/>
      <c r="S93" s="86"/>
      <c r="T93" s="86"/>
      <c r="U93" s="87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95"/>
      <c r="AN93" s="86"/>
    </row>
    <row r="94" spans="1:40" ht="45" customHeight="1" x14ac:dyDescent="0.25">
      <c r="A94" s="86"/>
      <c r="B94" s="86"/>
      <c r="C94" s="86"/>
      <c r="D94" s="13"/>
      <c r="E94" s="86"/>
      <c r="F94" s="86"/>
      <c r="G94" s="86"/>
      <c r="H94" s="86"/>
      <c r="I94" s="86"/>
      <c r="J94" s="86"/>
      <c r="K94" s="86"/>
      <c r="L94" s="87"/>
      <c r="M94" s="86"/>
      <c r="N94" s="86"/>
      <c r="O94" s="86"/>
      <c r="P94" s="86"/>
      <c r="Q94" s="86"/>
      <c r="R94" s="86"/>
      <c r="S94" s="86"/>
      <c r="T94" s="86"/>
      <c r="U94" s="87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95"/>
      <c r="AN94" s="86"/>
    </row>
    <row r="95" spans="1:40" ht="45" customHeight="1" x14ac:dyDescent="0.25">
      <c r="A95" s="86"/>
      <c r="B95" s="86"/>
      <c r="C95" s="86"/>
      <c r="D95" s="13"/>
      <c r="E95" s="86"/>
      <c r="F95" s="86"/>
      <c r="G95" s="86"/>
      <c r="H95" s="86"/>
      <c r="I95" s="86"/>
      <c r="J95" s="86"/>
      <c r="K95" s="86"/>
      <c r="L95" s="87"/>
      <c r="M95" s="86"/>
      <c r="N95" s="86"/>
      <c r="O95" s="86"/>
      <c r="P95" s="86"/>
      <c r="Q95" s="86"/>
      <c r="R95" s="86"/>
      <c r="S95" s="86"/>
      <c r="T95" s="86"/>
      <c r="U95" s="87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95"/>
      <c r="AN95" s="86"/>
    </row>
    <row r="96" spans="1:40" ht="45" customHeight="1" x14ac:dyDescent="0.25">
      <c r="A96" s="86"/>
      <c r="B96" s="86"/>
      <c r="C96" s="86"/>
      <c r="D96" s="13"/>
      <c r="E96" s="86"/>
      <c r="F96" s="86"/>
      <c r="G96" s="86"/>
      <c r="H96" s="86"/>
      <c r="I96" s="86"/>
      <c r="J96" s="86"/>
      <c r="K96" s="86"/>
      <c r="L96" s="87"/>
      <c r="M96" s="86"/>
      <c r="N96" s="86"/>
      <c r="O96" s="86"/>
      <c r="P96" s="86"/>
      <c r="Q96" s="86"/>
      <c r="R96" s="86"/>
      <c r="S96" s="86"/>
      <c r="T96" s="86"/>
      <c r="U96" s="87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95"/>
      <c r="AN96" s="86"/>
    </row>
    <row r="97" spans="1:40" ht="45" customHeight="1" x14ac:dyDescent="0.25">
      <c r="A97" s="86"/>
      <c r="B97" s="86"/>
      <c r="C97" s="86"/>
      <c r="D97" s="13"/>
      <c r="E97" s="86"/>
      <c r="F97" s="86"/>
      <c r="G97" s="86"/>
      <c r="H97" s="86"/>
      <c r="I97" s="86"/>
      <c r="J97" s="86"/>
      <c r="K97" s="86"/>
      <c r="L97" s="87"/>
      <c r="M97" s="86"/>
      <c r="N97" s="86"/>
      <c r="O97" s="86"/>
      <c r="P97" s="86"/>
      <c r="Q97" s="86"/>
      <c r="R97" s="86"/>
      <c r="S97" s="86"/>
      <c r="T97" s="86"/>
      <c r="U97" s="87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95"/>
      <c r="AN97" s="86"/>
    </row>
    <row r="98" spans="1:40" ht="45" customHeight="1" x14ac:dyDescent="0.25">
      <c r="A98" s="86"/>
      <c r="B98" s="86"/>
      <c r="C98" s="86"/>
      <c r="D98" s="13"/>
      <c r="E98" s="86"/>
      <c r="F98" s="86"/>
      <c r="G98" s="86"/>
      <c r="H98" s="86"/>
      <c r="I98" s="86"/>
      <c r="J98" s="86"/>
      <c r="K98" s="86"/>
      <c r="L98" s="87"/>
      <c r="M98" s="86"/>
      <c r="N98" s="86"/>
      <c r="O98" s="86"/>
      <c r="P98" s="86"/>
      <c r="Q98" s="86"/>
      <c r="R98" s="86"/>
      <c r="S98" s="86"/>
      <c r="T98" s="86"/>
      <c r="U98" s="87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95"/>
      <c r="AN98" s="86"/>
    </row>
    <row r="99" spans="1:40" ht="45" customHeight="1" x14ac:dyDescent="0.25">
      <c r="A99" s="86"/>
      <c r="B99" s="86"/>
      <c r="C99" s="86"/>
      <c r="D99" s="13"/>
      <c r="E99" s="86"/>
      <c r="F99" s="86"/>
      <c r="G99" s="86"/>
      <c r="H99" s="86"/>
      <c r="I99" s="86"/>
      <c r="J99" s="86"/>
      <c r="K99" s="86"/>
      <c r="L99" s="87"/>
      <c r="M99" s="86"/>
      <c r="N99" s="86"/>
      <c r="O99" s="86"/>
      <c r="P99" s="86"/>
      <c r="Q99" s="86"/>
      <c r="R99" s="86"/>
      <c r="S99" s="86"/>
      <c r="T99" s="86"/>
      <c r="U99" s="87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95"/>
      <c r="AN99" s="86"/>
    </row>
    <row r="100" spans="1:40" ht="45" customHeight="1" x14ac:dyDescent="0.25">
      <c r="A100" s="86"/>
      <c r="B100" s="86"/>
      <c r="C100" s="86"/>
      <c r="D100" s="13"/>
      <c r="E100" s="86"/>
      <c r="F100" s="86"/>
      <c r="G100" s="86"/>
      <c r="H100" s="86"/>
      <c r="I100" s="86"/>
      <c r="J100" s="86"/>
      <c r="K100" s="86"/>
      <c r="L100" s="87"/>
      <c r="M100" s="86"/>
      <c r="N100" s="86"/>
      <c r="O100" s="86"/>
      <c r="P100" s="86"/>
      <c r="Q100" s="86"/>
      <c r="R100" s="86"/>
      <c r="S100" s="86"/>
      <c r="T100" s="86"/>
      <c r="U100" s="87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95"/>
      <c r="AN100" s="86"/>
    </row>
    <row r="101" spans="1:40" ht="45" customHeight="1" x14ac:dyDescent="0.25">
      <c r="A101" s="86"/>
      <c r="B101" s="86"/>
      <c r="C101" s="86"/>
      <c r="D101" s="13"/>
      <c r="E101" s="86"/>
      <c r="F101" s="86"/>
      <c r="G101" s="86"/>
      <c r="H101" s="86"/>
      <c r="I101" s="86"/>
      <c r="J101" s="86"/>
      <c r="K101" s="86"/>
      <c r="L101" s="87"/>
      <c r="M101" s="86"/>
      <c r="N101" s="86"/>
      <c r="O101" s="86"/>
      <c r="P101" s="86"/>
      <c r="Q101" s="86"/>
      <c r="R101" s="86"/>
      <c r="S101" s="86"/>
      <c r="T101" s="86"/>
      <c r="U101" s="87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95"/>
      <c r="AN101" s="86"/>
    </row>
    <row r="102" spans="1:40" ht="45" customHeight="1" x14ac:dyDescent="0.25">
      <c r="A102" s="86"/>
      <c r="B102" s="86"/>
      <c r="C102" s="86"/>
      <c r="D102" s="13"/>
      <c r="E102" s="86"/>
      <c r="F102" s="86"/>
      <c r="G102" s="86"/>
      <c r="H102" s="86"/>
      <c r="I102" s="86"/>
      <c r="J102" s="86"/>
      <c r="K102" s="86"/>
      <c r="L102" s="87"/>
      <c r="M102" s="86"/>
      <c r="N102" s="86"/>
      <c r="O102" s="86"/>
      <c r="P102" s="86"/>
      <c r="Q102" s="86"/>
      <c r="R102" s="86"/>
      <c r="S102" s="86"/>
      <c r="T102" s="86"/>
      <c r="U102" s="87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95"/>
      <c r="AN102" s="86"/>
    </row>
    <row r="103" spans="1:40" ht="45" customHeight="1" x14ac:dyDescent="0.25">
      <c r="A103" s="86"/>
      <c r="B103" s="86"/>
      <c r="C103" s="86"/>
      <c r="D103" s="13"/>
      <c r="E103" s="86"/>
      <c r="F103" s="86"/>
      <c r="G103" s="86"/>
      <c r="H103" s="86"/>
      <c r="I103" s="86"/>
      <c r="J103" s="86"/>
      <c r="K103" s="86"/>
      <c r="L103" s="87"/>
      <c r="M103" s="86"/>
      <c r="N103" s="86"/>
      <c r="O103" s="86"/>
      <c r="P103" s="86"/>
      <c r="Q103" s="86"/>
      <c r="R103" s="86"/>
      <c r="S103" s="86"/>
      <c r="T103" s="86"/>
      <c r="U103" s="87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95"/>
      <c r="AN103" s="86"/>
    </row>
    <row r="104" spans="1:40" ht="45" customHeight="1" x14ac:dyDescent="0.25">
      <c r="A104" s="86"/>
      <c r="B104" s="86"/>
      <c r="C104" s="86"/>
      <c r="D104" s="13"/>
      <c r="E104" s="86"/>
      <c r="F104" s="86"/>
      <c r="G104" s="86"/>
      <c r="H104" s="86"/>
      <c r="I104" s="86"/>
      <c r="J104" s="86"/>
      <c r="K104" s="86"/>
      <c r="L104" s="87"/>
      <c r="M104" s="86"/>
      <c r="N104" s="86"/>
      <c r="O104" s="86"/>
      <c r="P104" s="86"/>
      <c r="Q104" s="86"/>
      <c r="R104" s="86"/>
      <c r="S104" s="86"/>
      <c r="T104" s="86"/>
      <c r="U104" s="87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95"/>
      <c r="AN104" s="86"/>
    </row>
    <row r="105" spans="1:40" ht="45" customHeight="1" x14ac:dyDescent="0.25">
      <c r="A105" s="86"/>
      <c r="B105" s="86"/>
      <c r="C105" s="86"/>
      <c r="D105" s="13"/>
      <c r="E105" s="86"/>
      <c r="F105" s="86"/>
      <c r="G105" s="86"/>
      <c r="H105" s="86"/>
      <c r="I105" s="86"/>
      <c r="J105" s="86"/>
      <c r="K105" s="86"/>
      <c r="L105" s="87"/>
      <c r="M105" s="86"/>
      <c r="N105" s="86"/>
      <c r="O105" s="86"/>
      <c r="P105" s="86"/>
      <c r="Q105" s="86"/>
      <c r="R105" s="86"/>
      <c r="S105" s="86"/>
      <c r="T105" s="86"/>
      <c r="U105" s="87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95"/>
      <c r="AN105" s="86"/>
    </row>
    <row r="106" spans="1:40" ht="45" customHeight="1" x14ac:dyDescent="0.25">
      <c r="A106" s="86"/>
      <c r="B106" s="86"/>
      <c r="C106" s="86"/>
      <c r="D106" s="13"/>
      <c r="E106" s="86"/>
      <c r="F106" s="86"/>
      <c r="G106" s="86"/>
      <c r="H106" s="86"/>
      <c r="I106" s="86"/>
      <c r="J106" s="86"/>
      <c r="K106" s="86"/>
      <c r="L106" s="87"/>
      <c r="M106" s="86"/>
      <c r="N106" s="86"/>
      <c r="O106" s="86"/>
      <c r="P106" s="86"/>
      <c r="Q106" s="86"/>
      <c r="R106" s="86"/>
      <c r="S106" s="86"/>
      <c r="T106" s="86"/>
      <c r="U106" s="87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95"/>
      <c r="AN106" s="86"/>
    </row>
    <row r="107" spans="1:40" ht="45" customHeight="1" x14ac:dyDescent="0.25">
      <c r="A107" s="86"/>
      <c r="B107" s="86"/>
      <c r="C107" s="86"/>
      <c r="D107" s="13"/>
      <c r="E107" s="86"/>
      <c r="F107" s="86"/>
      <c r="G107" s="86"/>
      <c r="H107" s="86"/>
      <c r="I107" s="86"/>
      <c r="J107" s="86"/>
      <c r="K107" s="86"/>
      <c r="L107" s="87"/>
      <c r="M107" s="86"/>
      <c r="N107" s="86"/>
      <c r="O107" s="86"/>
      <c r="P107" s="86"/>
      <c r="Q107" s="86"/>
      <c r="R107" s="86"/>
      <c r="S107" s="86"/>
      <c r="T107" s="86"/>
      <c r="U107" s="87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95"/>
      <c r="AN107" s="86"/>
    </row>
    <row r="108" spans="1:40" ht="45" customHeight="1" x14ac:dyDescent="0.25">
      <c r="A108" s="86"/>
      <c r="B108" s="86"/>
      <c r="C108" s="86"/>
      <c r="D108" s="13"/>
      <c r="E108" s="86"/>
      <c r="F108" s="86"/>
      <c r="G108" s="86"/>
      <c r="H108" s="86"/>
      <c r="I108" s="86"/>
      <c r="J108" s="86"/>
      <c r="K108" s="86"/>
      <c r="L108" s="87"/>
      <c r="M108" s="86"/>
      <c r="N108" s="86"/>
      <c r="O108" s="86"/>
      <c r="P108" s="86"/>
      <c r="Q108" s="86"/>
      <c r="R108" s="86"/>
      <c r="S108" s="86"/>
      <c r="T108" s="86"/>
      <c r="U108" s="87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95"/>
      <c r="AN108" s="86"/>
    </row>
    <row r="109" spans="1:40" ht="45" customHeight="1" x14ac:dyDescent="0.25">
      <c r="A109" s="86"/>
      <c r="B109" s="86"/>
      <c r="C109" s="86"/>
      <c r="D109" s="13"/>
      <c r="E109" s="86"/>
      <c r="F109" s="86"/>
      <c r="G109" s="86"/>
      <c r="H109" s="86"/>
      <c r="I109" s="86"/>
      <c r="J109" s="86"/>
      <c r="K109" s="86"/>
      <c r="L109" s="87"/>
      <c r="M109" s="86"/>
      <c r="N109" s="86"/>
      <c r="O109" s="86"/>
      <c r="P109" s="86"/>
      <c r="Q109" s="86"/>
      <c r="R109" s="86"/>
      <c r="S109" s="86"/>
      <c r="T109" s="86"/>
      <c r="U109" s="87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95"/>
      <c r="AN109" s="86"/>
    </row>
    <row r="110" spans="1:40" ht="45" customHeight="1" x14ac:dyDescent="0.25">
      <c r="A110" s="86"/>
      <c r="B110" s="86"/>
      <c r="C110" s="86"/>
      <c r="D110" s="13"/>
      <c r="E110" s="86"/>
      <c r="F110" s="86"/>
      <c r="G110" s="86"/>
      <c r="H110" s="86"/>
      <c r="I110" s="86"/>
      <c r="J110" s="86"/>
      <c r="K110" s="86"/>
      <c r="L110" s="87"/>
      <c r="M110" s="86"/>
      <c r="N110" s="86"/>
      <c r="O110" s="86"/>
      <c r="P110" s="86"/>
      <c r="Q110" s="86"/>
      <c r="R110" s="86"/>
      <c r="S110" s="86"/>
      <c r="T110" s="86"/>
      <c r="U110" s="87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95"/>
      <c r="AN110" s="86"/>
    </row>
    <row r="111" spans="1:40" ht="45" customHeight="1" x14ac:dyDescent="0.25">
      <c r="A111" s="86"/>
      <c r="B111" s="86"/>
      <c r="C111" s="86"/>
      <c r="D111" s="13"/>
      <c r="E111" s="86"/>
      <c r="F111" s="86"/>
      <c r="G111" s="86"/>
      <c r="H111" s="86"/>
      <c r="I111" s="86"/>
      <c r="J111" s="86"/>
      <c r="K111" s="86"/>
      <c r="L111" s="87"/>
      <c r="M111" s="86"/>
      <c r="N111" s="86"/>
      <c r="O111" s="86"/>
      <c r="P111" s="86"/>
      <c r="Q111" s="86"/>
      <c r="R111" s="86"/>
      <c r="S111" s="86"/>
      <c r="T111" s="86"/>
      <c r="U111" s="87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95"/>
      <c r="AN111" s="86"/>
    </row>
    <row r="112" spans="1:40" ht="45" customHeight="1" x14ac:dyDescent="0.25">
      <c r="A112" s="86"/>
      <c r="B112" s="86"/>
      <c r="C112" s="86"/>
      <c r="D112" s="13"/>
      <c r="E112" s="86"/>
      <c r="F112" s="86"/>
      <c r="G112" s="86"/>
      <c r="H112" s="86"/>
      <c r="I112" s="86"/>
      <c r="J112" s="86"/>
      <c r="K112" s="86"/>
      <c r="L112" s="87"/>
      <c r="M112" s="86"/>
      <c r="N112" s="86"/>
      <c r="O112" s="86"/>
      <c r="P112" s="86"/>
      <c r="Q112" s="86"/>
      <c r="R112" s="86"/>
      <c r="S112" s="86"/>
      <c r="T112" s="86"/>
      <c r="U112" s="87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  <c r="AL112" s="86"/>
      <c r="AM112" s="95"/>
      <c r="AN112" s="86"/>
    </row>
    <row r="113" spans="1:40" ht="45" customHeight="1" x14ac:dyDescent="0.25">
      <c r="A113" s="86"/>
      <c r="B113" s="86"/>
      <c r="C113" s="86"/>
      <c r="D113" s="13"/>
      <c r="E113" s="86"/>
      <c r="F113" s="86"/>
      <c r="G113" s="86"/>
      <c r="H113" s="86"/>
      <c r="I113" s="86"/>
      <c r="J113" s="86"/>
      <c r="K113" s="86"/>
      <c r="L113" s="87"/>
      <c r="M113" s="86"/>
      <c r="N113" s="86"/>
      <c r="O113" s="86"/>
      <c r="P113" s="86"/>
      <c r="Q113" s="86"/>
      <c r="R113" s="86"/>
      <c r="S113" s="86"/>
      <c r="T113" s="86"/>
      <c r="U113" s="87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95"/>
      <c r="AN113" s="86"/>
    </row>
    <row r="114" spans="1:40" ht="45" customHeight="1" x14ac:dyDescent="0.25">
      <c r="A114" s="86"/>
      <c r="B114" s="86"/>
      <c r="C114" s="86"/>
      <c r="D114" s="13"/>
      <c r="E114" s="86"/>
      <c r="F114" s="86"/>
      <c r="G114" s="86"/>
      <c r="H114" s="86"/>
      <c r="I114" s="86"/>
      <c r="J114" s="86"/>
      <c r="K114" s="86"/>
      <c r="L114" s="87"/>
      <c r="M114" s="86"/>
      <c r="N114" s="86"/>
      <c r="O114" s="86"/>
      <c r="P114" s="86"/>
      <c r="Q114" s="86"/>
      <c r="R114" s="86"/>
      <c r="S114" s="86"/>
      <c r="T114" s="86"/>
      <c r="U114" s="87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95"/>
      <c r="AN114" s="86"/>
    </row>
    <row r="115" spans="1:40" ht="45" customHeight="1" x14ac:dyDescent="0.25">
      <c r="A115" s="86"/>
      <c r="B115" s="86"/>
      <c r="C115" s="86"/>
      <c r="D115" s="13"/>
      <c r="E115" s="86"/>
      <c r="F115" s="86"/>
      <c r="G115" s="86"/>
      <c r="H115" s="86"/>
      <c r="I115" s="86"/>
      <c r="J115" s="86"/>
      <c r="K115" s="86"/>
      <c r="L115" s="87"/>
      <c r="M115" s="86"/>
      <c r="N115" s="86"/>
      <c r="O115" s="86"/>
      <c r="P115" s="86"/>
      <c r="Q115" s="86"/>
      <c r="R115" s="86"/>
      <c r="S115" s="86"/>
      <c r="T115" s="86"/>
      <c r="U115" s="87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95"/>
      <c r="AN115" s="86"/>
    </row>
    <row r="116" spans="1:40" ht="45" customHeight="1" x14ac:dyDescent="0.25">
      <c r="A116" s="86"/>
      <c r="B116" s="86"/>
      <c r="C116" s="86"/>
      <c r="D116" s="13"/>
      <c r="E116" s="86"/>
      <c r="F116" s="86"/>
      <c r="G116" s="86"/>
      <c r="H116" s="86"/>
      <c r="I116" s="86"/>
      <c r="J116" s="86"/>
      <c r="K116" s="86"/>
      <c r="L116" s="87"/>
      <c r="M116" s="86"/>
      <c r="N116" s="86"/>
      <c r="O116" s="86"/>
      <c r="P116" s="86"/>
      <c r="Q116" s="86"/>
      <c r="R116" s="86"/>
      <c r="S116" s="86"/>
      <c r="T116" s="86"/>
      <c r="U116" s="87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95"/>
      <c r="AN116" s="86"/>
    </row>
    <row r="117" spans="1:40" ht="45" customHeight="1" x14ac:dyDescent="0.25">
      <c r="A117" s="86"/>
      <c r="B117" s="86"/>
      <c r="C117" s="86"/>
      <c r="D117" s="13"/>
      <c r="E117" s="86"/>
      <c r="F117" s="86"/>
      <c r="G117" s="86"/>
      <c r="H117" s="86"/>
      <c r="I117" s="86"/>
      <c r="J117" s="86"/>
      <c r="K117" s="86"/>
      <c r="L117" s="87"/>
      <c r="M117" s="86"/>
      <c r="N117" s="86"/>
      <c r="O117" s="86"/>
      <c r="P117" s="86"/>
      <c r="Q117" s="86"/>
      <c r="R117" s="86"/>
      <c r="S117" s="86"/>
      <c r="T117" s="86"/>
      <c r="U117" s="87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95"/>
      <c r="AN117" s="86"/>
    </row>
    <row r="118" spans="1:40" ht="45" customHeight="1" x14ac:dyDescent="0.25">
      <c r="A118" s="86"/>
      <c r="B118" s="86"/>
      <c r="C118" s="86"/>
      <c r="D118" s="13"/>
      <c r="E118" s="86"/>
      <c r="F118" s="86"/>
      <c r="G118" s="86"/>
      <c r="H118" s="86"/>
      <c r="I118" s="86"/>
      <c r="J118" s="86"/>
      <c r="K118" s="86"/>
      <c r="L118" s="87"/>
      <c r="M118" s="86"/>
      <c r="N118" s="86"/>
      <c r="O118" s="86"/>
      <c r="P118" s="86"/>
      <c r="Q118" s="86"/>
      <c r="R118" s="86"/>
      <c r="S118" s="86"/>
      <c r="T118" s="86"/>
      <c r="U118" s="87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95"/>
      <c r="AN118" s="86"/>
    </row>
    <row r="119" spans="1:40" ht="45" customHeight="1" x14ac:dyDescent="0.25">
      <c r="A119" s="86"/>
      <c r="B119" s="86"/>
      <c r="C119" s="86"/>
      <c r="D119" s="13"/>
      <c r="E119" s="86"/>
      <c r="F119" s="86"/>
      <c r="G119" s="86"/>
      <c r="H119" s="86"/>
      <c r="I119" s="86"/>
      <c r="J119" s="86"/>
      <c r="K119" s="86"/>
      <c r="L119" s="87"/>
      <c r="M119" s="86"/>
      <c r="N119" s="86"/>
      <c r="O119" s="86"/>
      <c r="P119" s="86"/>
      <c r="Q119" s="86"/>
      <c r="R119" s="86"/>
      <c r="S119" s="86"/>
      <c r="T119" s="86"/>
      <c r="U119" s="87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95"/>
      <c r="AN119" s="86"/>
    </row>
    <row r="120" spans="1:40" ht="45" customHeight="1" x14ac:dyDescent="0.25">
      <c r="A120" s="86"/>
      <c r="B120" s="86"/>
      <c r="C120" s="86"/>
      <c r="D120" s="13"/>
      <c r="E120" s="86"/>
      <c r="F120" s="86"/>
      <c r="G120" s="86"/>
      <c r="H120" s="86"/>
      <c r="I120" s="86"/>
      <c r="J120" s="86"/>
      <c r="K120" s="86"/>
      <c r="L120" s="87"/>
      <c r="M120" s="86"/>
      <c r="N120" s="86"/>
      <c r="O120" s="86"/>
      <c r="P120" s="86"/>
      <c r="Q120" s="86"/>
      <c r="R120" s="86"/>
      <c r="S120" s="86"/>
      <c r="T120" s="86"/>
      <c r="U120" s="87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95"/>
      <c r="AN120" s="86"/>
    </row>
    <row r="121" spans="1:40" ht="45" customHeight="1" x14ac:dyDescent="0.25">
      <c r="A121" s="86"/>
      <c r="B121" s="86"/>
      <c r="C121" s="86"/>
      <c r="D121" s="13"/>
      <c r="E121" s="86"/>
      <c r="F121" s="86"/>
      <c r="G121" s="86"/>
      <c r="H121" s="86"/>
      <c r="I121" s="86"/>
      <c r="J121" s="86"/>
      <c r="K121" s="86"/>
      <c r="L121" s="87"/>
      <c r="M121" s="86"/>
      <c r="N121" s="86"/>
      <c r="O121" s="86"/>
      <c r="P121" s="86"/>
      <c r="Q121" s="86"/>
      <c r="R121" s="86"/>
      <c r="S121" s="86"/>
      <c r="T121" s="86"/>
      <c r="U121" s="87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95"/>
      <c r="AN121" s="86"/>
    </row>
    <row r="122" spans="1:40" ht="45" customHeight="1" x14ac:dyDescent="0.25">
      <c r="A122" s="86"/>
      <c r="B122" s="86"/>
      <c r="C122" s="86"/>
      <c r="D122" s="13"/>
      <c r="E122" s="86"/>
      <c r="F122" s="86"/>
      <c r="G122" s="86"/>
      <c r="H122" s="86"/>
      <c r="I122" s="86"/>
      <c r="J122" s="86"/>
      <c r="K122" s="86"/>
      <c r="L122" s="87"/>
      <c r="M122" s="86"/>
      <c r="N122" s="86"/>
      <c r="O122" s="86"/>
      <c r="P122" s="86"/>
      <c r="Q122" s="86"/>
      <c r="R122" s="86"/>
      <c r="S122" s="86"/>
      <c r="T122" s="86"/>
      <c r="U122" s="87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95"/>
      <c r="AN122" s="86"/>
    </row>
    <row r="123" spans="1:40" ht="45" customHeight="1" x14ac:dyDescent="0.25">
      <c r="A123" s="86"/>
      <c r="B123" s="86"/>
      <c r="C123" s="86"/>
      <c r="D123" s="13"/>
      <c r="E123" s="86"/>
      <c r="F123" s="86"/>
      <c r="G123" s="86"/>
      <c r="H123" s="86"/>
      <c r="I123" s="86"/>
      <c r="J123" s="86"/>
      <c r="K123" s="86"/>
      <c r="L123" s="87"/>
      <c r="M123" s="86"/>
      <c r="N123" s="86"/>
      <c r="O123" s="86"/>
      <c r="P123" s="86"/>
      <c r="Q123" s="86"/>
      <c r="R123" s="86"/>
      <c r="S123" s="86"/>
      <c r="T123" s="86"/>
      <c r="U123" s="87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95"/>
      <c r="AN123" s="86"/>
    </row>
    <row r="124" spans="1:40" ht="45" customHeight="1" x14ac:dyDescent="0.25">
      <c r="A124" s="86"/>
      <c r="B124" s="86"/>
      <c r="C124" s="86"/>
      <c r="D124" s="13"/>
      <c r="E124" s="86"/>
      <c r="F124" s="86"/>
      <c r="G124" s="86"/>
      <c r="H124" s="86"/>
      <c r="I124" s="86"/>
      <c r="J124" s="86"/>
      <c r="K124" s="86"/>
      <c r="L124" s="87"/>
      <c r="M124" s="86"/>
      <c r="N124" s="86"/>
      <c r="O124" s="86"/>
      <c r="P124" s="86"/>
      <c r="Q124" s="86"/>
      <c r="R124" s="86"/>
      <c r="S124" s="86"/>
      <c r="T124" s="86"/>
      <c r="U124" s="87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95"/>
      <c r="AN124" s="86"/>
    </row>
    <row r="125" spans="1:40" ht="45" customHeight="1" x14ac:dyDescent="0.25">
      <c r="A125" s="86"/>
      <c r="B125" s="86"/>
      <c r="C125" s="86"/>
      <c r="D125" s="13"/>
      <c r="E125" s="86"/>
      <c r="F125" s="86"/>
      <c r="G125" s="86"/>
      <c r="H125" s="86"/>
      <c r="I125" s="86"/>
      <c r="J125" s="86"/>
      <c r="K125" s="86"/>
      <c r="L125" s="87"/>
      <c r="M125" s="86"/>
      <c r="N125" s="86"/>
      <c r="O125" s="86"/>
      <c r="P125" s="86"/>
      <c r="Q125" s="86"/>
      <c r="R125" s="86"/>
      <c r="S125" s="86"/>
      <c r="T125" s="86"/>
      <c r="U125" s="87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95"/>
      <c r="AN125" s="86"/>
    </row>
    <row r="126" spans="1:40" ht="45" customHeight="1" x14ac:dyDescent="0.25">
      <c r="A126" s="86"/>
      <c r="B126" s="86"/>
      <c r="C126" s="86"/>
      <c r="D126" s="13"/>
      <c r="E126" s="86"/>
      <c r="F126" s="86"/>
      <c r="G126" s="86"/>
      <c r="H126" s="86"/>
      <c r="I126" s="86"/>
      <c r="J126" s="86"/>
      <c r="K126" s="86"/>
      <c r="L126" s="87"/>
      <c r="M126" s="86"/>
      <c r="N126" s="86"/>
      <c r="O126" s="86"/>
      <c r="P126" s="86"/>
      <c r="Q126" s="86"/>
      <c r="R126" s="86"/>
      <c r="S126" s="86"/>
      <c r="T126" s="86"/>
      <c r="U126" s="87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95"/>
      <c r="AN126" s="86"/>
    </row>
    <row r="127" spans="1:40" ht="45" customHeight="1" x14ac:dyDescent="0.25">
      <c r="A127" s="86"/>
      <c r="B127" s="86"/>
      <c r="C127" s="86"/>
      <c r="D127" s="13"/>
      <c r="E127" s="86"/>
      <c r="F127" s="86"/>
      <c r="G127" s="86"/>
      <c r="H127" s="86"/>
      <c r="I127" s="86"/>
      <c r="J127" s="86"/>
      <c r="K127" s="86"/>
      <c r="L127" s="87"/>
      <c r="M127" s="86"/>
      <c r="N127" s="86"/>
      <c r="O127" s="86"/>
      <c r="P127" s="86"/>
      <c r="Q127" s="86"/>
      <c r="R127" s="86"/>
      <c r="S127" s="86"/>
      <c r="T127" s="86"/>
      <c r="U127" s="87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95"/>
      <c r="AN127" s="86"/>
    </row>
    <row r="128" spans="1:40" ht="45" customHeight="1" x14ac:dyDescent="0.25">
      <c r="A128" s="86"/>
      <c r="B128" s="86"/>
      <c r="C128" s="86"/>
      <c r="D128" s="13"/>
      <c r="E128" s="86"/>
      <c r="F128" s="86"/>
      <c r="G128" s="86"/>
      <c r="H128" s="86"/>
      <c r="I128" s="86"/>
      <c r="J128" s="86"/>
      <c r="K128" s="86"/>
      <c r="L128" s="87"/>
      <c r="M128" s="86"/>
      <c r="N128" s="86"/>
      <c r="O128" s="86"/>
      <c r="P128" s="86"/>
      <c r="Q128" s="86"/>
      <c r="R128" s="86"/>
      <c r="S128" s="86"/>
      <c r="T128" s="86"/>
      <c r="U128" s="87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95"/>
      <c r="AN128" s="86"/>
    </row>
    <row r="129" spans="1:40" ht="45" customHeight="1" x14ac:dyDescent="0.25">
      <c r="A129" s="86"/>
      <c r="B129" s="86"/>
      <c r="C129" s="86"/>
      <c r="D129" s="13"/>
      <c r="E129" s="86"/>
      <c r="F129" s="86"/>
      <c r="G129" s="86"/>
      <c r="H129" s="86"/>
      <c r="I129" s="86"/>
      <c r="J129" s="86"/>
      <c r="K129" s="86"/>
      <c r="L129" s="87"/>
      <c r="M129" s="86"/>
      <c r="N129" s="86"/>
      <c r="O129" s="86"/>
      <c r="P129" s="86"/>
      <c r="Q129" s="86"/>
      <c r="R129" s="86"/>
      <c r="S129" s="86"/>
      <c r="T129" s="86"/>
      <c r="U129" s="87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95"/>
      <c r="AN129" s="86"/>
    </row>
    <row r="130" spans="1:40" ht="45" customHeight="1" x14ac:dyDescent="0.25">
      <c r="A130" s="86"/>
      <c r="B130" s="86"/>
      <c r="C130" s="86"/>
      <c r="D130" s="13"/>
      <c r="E130" s="86"/>
      <c r="F130" s="86"/>
      <c r="G130" s="86"/>
      <c r="H130" s="86"/>
      <c r="I130" s="86"/>
      <c r="J130" s="86"/>
      <c r="K130" s="86"/>
      <c r="L130" s="87"/>
      <c r="M130" s="86"/>
      <c r="N130" s="86"/>
      <c r="O130" s="86"/>
      <c r="P130" s="86"/>
      <c r="Q130" s="86"/>
      <c r="R130" s="86"/>
      <c r="S130" s="86"/>
      <c r="T130" s="86"/>
      <c r="U130" s="87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95"/>
      <c r="AN130" s="86"/>
    </row>
    <row r="131" spans="1:40" ht="45" customHeight="1" x14ac:dyDescent="0.25">
      <c r="A131" s="86"/>
      <c r="B131" s="86"/>
      <c r="C131" s="86"/>
      <c r="D131" s="13"/>
      <c r="E131" s="86"/>
      <c r="F131" s="86"/>
      <c r="G131" s="86"/>
      <c r="H131" s="86"/>
      <c r="I131" s="86"/>
      <c r="J131" s="86"/>
      <c r="K131" s="86"/>
      <c r="L131" s="87"/>
      <c r="M131" s="86"/>
      <c r="N131" s="86"/>
      <c r="O131" s="86"/>
      <c r="P131" s="86"/>
      <c r="Q131" s="86"/>
      <c r="R131" s="86"/>
      <c r="S131" s="86"/>
      <c r="T131" s="86"/>
      <c r="U131" s="87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95"/>
      <c r="AN131" s="86"/>
    </row>
    <row r="132" spans="1:40" ht="45" customHeight="1" x14ac:dyDescent="0.25">
      <c r="A132" s="86"/>
      <c r="B132" s="86"/>
      <c r="C132" s="86"/>
      <c r="D132" s="13"/>
      <c r="E132" s="86"/>
      <c r="F132" s="86"/>
      <c r="G132" s="86"/>
      <c r="H132" s="86"/>
      <c r="I132" s="86"/>
      <c r="J132" s="86"/>
      <c r="K132" s="86"/>
      <c r="L132" s="87"/>
      <c r="M132" s="86"/>
      <c r="N132" s="86"/>
      <c r="O132" s="86"/>
      <c r="P132" s="86"/>
      <c r="Q132" s="86"/>
      <c r="R132" s="86"/>
      <c r="S132" s="86"/>
      <c r="T132" s="86"/>
      <c r="U132" s="87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95"/>
      <c r="AN132" s="86"/>
    </row>
    <row r="133" spans="1:40" ht="45" customHeight="1" x14ac:dyDescent="0.25">
      <c r="A133" s="86"/>
      <c r="B133" s="86"/>
      <c r="C133" s="86"/>
      <c r="D133" s="13"/>
      <c r="E133" s="86"/>
      <c r="F133" s="86"/>
      <c r="G133" s="86"/>
      <c r="H133" s="86"/>
      <c r="I133" s="86"/>
      <c r="J133" s="86"/>
      <c r="K133" s="86"/>
      <c r="L133" s="87"/>
      <c r="M133" s="86"/>
      <c r="N133" s="86"/>
      <c r="O133" s="86"/>
      <c r="P133" s="86"/>
      <c r="Q133" s="86"/>
      <c r="R133" s="86"/>
      <c r="S133" s="86"/>
      <c r="T133" s="86"/>
      <c r="U133" s="87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95"/>
      <c r="AN133" s="86"/>
    </row>
    <row r="134" spans="1:40" ht="45" customHeight="1" x14ac:dyDescent="0.25">
      <c r="A134" s="86"/>
      <c r="B134" s="86"/>
      <c r="C134" s="86"/>
      <c r="D134" s="13"/>
      <c r="E134" s="86"/>
      <c r="F134" s="86"/>
      <c r="G134" s="86"/>
      <c r="H134" s="86"/>
      <c r="I134" s="86"/>
      <c r="J134" s="86"/>
      <c r="K134" s="86"/>
      <c r="L134" s="87"/>
      <c r="M134" s="86"/>
      <c r="N134" s="86"/>
      <c r="O134" s="86"/>
      <c r="P134" s="86"/>
      <c r="Q134" s="86"/>
      <c r="R134" s="86"/>
      <c r="S134" s="86"/>
      <c r="T134" s="86"/>
      <c r="U134" s="87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95"/>
      <c r="AN134" s="86"/>
    </row>
    <row r="135" spans="1:40" ht="45" customHeight="1" x14ac:dyDescent="0.25">
      <c r="A135" s="86"/>
      <c r="B135" s="86"/>
      <c r="C135" s="86"/>
      <c r="D135" s="13"/>
      <c r="E135" s="86"/>
      <c r="F135" s="86"/>
      <c r="G135" s="86"/>
      <c r="H135" s="86"/>
      <c r="I135" s="86"/>
      <c r="J135" s="86"/>
      <c r="K135" s="86"/>
      <c r="L135" s="87"/>
      <c r="M135" s="86"/>
      <c r="N135" s="86"/>
      <c r="O135" s="86"/>
      <c r="P135" s="86"/>
      <c r="Q135" s="86"/>
      <c r="R135" s="86"/>
      <c r="S135" s="86"/>
      <c r="T135" s="86"/>
      <c r="U135" s="87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95"/>
      <c r="AN135" s="86"/>
    </row>
    <row r="136" spans="1:40" ht="45" customHeight="1" x14ac:dyDescent="0.25">
      <c r="A136" s="86"/>
      <c r="B136" s="86"/>
      <c r="C136" s="86"/>
      <c r="D136" s="13"/>
      <c r="E136" s="86"/>
      <c r="F136" s="86"/>
      <c r="G136" s="86"/>
      <c r="H136" s="86"/>
      <c r="I136" s="86"/>
      <c r="J136" s="86"/>
      <c r="K136" s="86"/>
      <c r="L136" s="87"/>
      <c r="M136" s="86"/>
      <c r="N136" s="86"/>
      <c r="O136" s="86"/>
      <c r="P136" s="86"/>
      <c r="Q136" s="86"/>
      <c r="R136" s="86"/>
      <c r="S136" s="86"/>
      <c r="T136" s="86"/>
      <c r="U136" s="87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95"/>
      <c r="AN136" s="86"/>
    </row>
    <row r="137" spans="1:40" ht="45" customHeight="1" x14ac:dyDescent="0.25">
      <c r="A137" s="86"/>
      <c r="B137" s="86"/>
      <c r="C137" s="86"/>
      <c r="D137" s="13"/>
      <c r="E137" s="86"/>
      <c r="F137" s="86"/>
      <c r="G137" s="86"/>
      <c r="H137" s="86"/>
      <c r="I137" s="86"/>
      <c r="J137" s="86"/>
      <c r="K137" s="86"/>
      <c r="L137" s="87"/>
      <c r="M137" s="86"/>
      <c r="N137" s="86"/>
      <c r="O137" s="86"/>
      <c r="P137" s="86"/>
      <c r="Q137" s="86"/>
      <c r="R137" s="86"/>
      <c r="S137" s="86"/>
      <c r="T137" s="86"/>
      <c r="U137" s="87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95"/>
      <c r="AN137" s="86"/>
    </row>
    <row r="138" spans="1:40" ht="45" customHeight="1" x14ac:dyDescent="0.25">
      <c r="A138" s="86"/>
      <c r="B138" s="86"/>
      <c r="C138" s="86"/>
      <c r="D138" s="13"/>
      <c r="E138" s="86"/>
      <c r="F138" s="86"/>
      <c r="G138" s="86"/>
      <c r="H138" s="86"/>
      <c r="I138" s="86"/>
      <c r="J138" s="86"/>
      <c r="K138" s="86"/>
      <c r="L138" s="87"/>
      <c r="M138" s="86"/>
      <c r="N138" s="86"/>
      <c r="O138" s="86"/>
      <c r="P138" s="86"/>
      <c r="Q138" s="86"/>
      <c r="R138" s="86"/>
      <c r="S138" s="86"/>
      <c r="T138" s="86"/>
      <c r="U138" s="87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95"/>
      <c r="AN138" s="86"/>
    </row>
    <row r="139" spans="1:40" ht="45" customHeight="1" x14ac:dyDescent="0.25">
      <c r="A139" s="86"/>
      <c r="B139" s="86"/>
      <c r="C139" s="86"/>
      <c r="D139" s="13"/>
      <c r="E139" s="86"/>
      <c r="F139" s="86"/>
      <c r="G139" s="86"/>
      <c r="H139" s="86"/>
      <c r="I139" s="86"/>
      <c r="J139" s="86"/>
      <c r="K139" s="86"/>
      <c r="L139" s="87"/>
      <c r="M139" s="86"/>
      <c r="N139" s="86"/>
      <c r="O139" s="86"/>
      <c r="P139" s="86"/>
      <c r="Q139" s="86"/>
      <c r="R139" s="86"/>
      <c r="S139" s="86"/>
      <c r="T139" s="86"/>
      <c r="U139" s="87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86"/>
      <c r="AI139" s="86"/>
      <c r="AJ139" s="86"/>
      <c r="AK139" s="86"/>
      <c r="AL139" s="86"/>
      <c r="AM139" s="95"/>
      <c r="AN139" s="86"/>
    </row>
    <row r="140" spans="1:40" ht="45" customHeight="1" x14ac:dyDescent="0.25">
      <c r="A140" s="86"/>
      <c r="B140" s="86"/>
      <c r="C140" s="86"/>
      <c r="D140" s="13"/>
      <c r="E140" s="86"/>
      <c r="F140" s="86"/>
      <c r="G140" s="86"/>
      <c r="H140" s="86"/>
      <c r="I140" s="86"/>
      <c r="J140" s="86"/>
      <c r="K140" s="86"/>
      <c r="L140" s="87"/>
      <c r="M140" s="86"/>
      <c r="N140" s="86"/>
      <c r="O140" s="86"/>
      <c r="P140" s="86"/>
      <c r="Q140" s="86"/>
      <c r="R140" s="86"/>
      <c r="S140" s="86"/>
      <c r="T140" s="86"/>
      <c r="U140" s="87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95"/>
      <c r="AN140" s="86"/>
    </row>
    <row r="141" spans="1:40" ht="45" customHeight="1" x14ac:dyDescent="0.25">
      <c r="A141" s="86"/>
      <c r="B141" s="86"/>
      <c r="C141" s="86"/>
      <c r="D141" s="13"/>
      <c r="E141" s="86"/>
      <c r="F141" s="86"/>
      <c r="G141" s="86"/>
      <c r="H141" s="86"/>
      <c r="I141" s="86"/>
      <c r="J141" s="86"/>
      <c r="K141" s="86"/>
      <c r="L141" s="87"/>
      <c r="M141" s="86"/>
      <c r="N141" s="86"/>
      <c r="O141" s="86"/>
      <c r="P141" s="86"/>
      <c r="Q141" s="86"/>
      <c r="R141" s="86"/>
      <c r="S141" s="86"/>
      <c r="T141" s="86"/>
      <c r="U141" s="87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95"/>
      <c r="AN141" s="86"/>
    </row>
    <row r="142" spans="1:40" ht="45" customHeight="1" x14ac:dyDescent="0.25">
      <c r="A142" s="86"/>
      <c r="B142" s="86"/>
      <c r="C142" s="86"/>
      <c r="D142" s="13"/>
      <c r="E142" s="86"/>
      <c r="F142" s="86"/>
      <c r="G142" s="86"/>
      <c r="H142" s="86"/>
      <c r="I142" s="86"/>
      <c r="J142" s="86"/>
      <c r="K142" s="86"/>
      <c r="L142" s="87"/>
      <c r="M142" s="86"/>
      <c r="N142" s="86"/>
      <c r="O142" s="86"/>
      <c r="P142" s="86"/>
      <c r="Q142" s="86"/>
      <c r="R142" s="86"/>
      <c r="S142" s="86"/>
      <c r="T142" s="86"/>
      <c r="U142" s="87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86"/>
      <c r="AI142" s="86"/>
      <c r="AJ142" s="86"/>
      <c r="AK142" s="86"/>
      <c r="AL142" s="86"/>
      <c r="AM142" s="95"/>
      <c r="AN142" s="86"/>
    </row>
    <row r="143" spans="1:40" ht="45" customHeight="1" x14ac:dyDescent="0.25">
      <c r="A143" s="86"/>
      <c r="B143" s="86"/>
      <c r="C143" s="86"/>
      <c r="D143" s="13"/>
      <c r="E143" s="86"/>
      <c r="F143" s="86"/>
      <c r="G143" s="86"/>
      <c r="H143" s="86"/>
      <c r="I143" s="86"/>
      <c r="J143" s="86"/>
      <c r="K143" s="86"/>
      <c r="L143" s="87"/>
      <c r="M143" s="86"/>
      <c r="N143" s="86"/>
      <c r="O143" s="86"/>
      <c r="P143" s="86"/>
      <c r="Q143" s="86"/>
      <c r="R143" s="86"/>
      <c r="S143" s="86"/>
      <c r="T143" s="86"/>
      <c r="U143" s="87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95"/>
      <c r="AN143" s="86"/>
    </row>
    <row r="144" spans="1:40" ht="45" customHeight="1" x14ac:dyDescent="0.25">
      <c r="A144" s="86"/>
      <c r="B144" s="86"/>
      <c r="C144" s="86"/>
      <c r="D144" s="13"/>
      <c r="E144" s="86"/>
      <c r="F144" s="86"/>
      <c r="G144" s="86"/>
      <c r="H144" s="86"/>
      <c r="I144" s="86"/>
      <c r="J144" s="86"/>
      <c r="K144" s="86"/>
      <c r="L144" s="87"/>
      <c r="M144" s="86"/>
      <c r="N144" s="86"/>
      <c r="O144" s="86"/>
      <c r="P144" s="86"/>
      <c r="Q144" s="86"/>
      <c r="R144" s="86"/>
      <c r="S144" s="86"/>
      <c r="T144" s="86"/>
      <c r="U144" s="87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95"/>
      <c r="AN144" s="86"/>
    </row>
    <row r="145" spans="1:40" ht="45" customHeight="1" x14ac:dyDescent="0.25">
      <c r="A145" s="86"/>
      <c r="B145" s="86"/>
      <c r="C145" s="86"/>
      <c r="D145" s="13"/>
      <c r="E145" s="86"/>
      <c r="F145" s="86"/>
      <c r="G145" s="86"/>
      <c r="H145" s="86"/>
      <c r="I145" s="86"/>
      <c r="J145" s="86"/>
      <c r="K145" s="86"/>
      <c r="L145" s="87"/>
      <c r="M145" s="86"/>
      <c r="N145" s="86"/>
      <c r="O145" s="86"/>
      <c r="P145" s="86"/>
      <c r="Q145" s="86"/>
      <c r="R145" s="86"/>
      <c r="S145" s="86"/>
      <c r="T145" s="86"/>
      <c r="U145" s="87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95"/>
      <c r="AN145" s="86"/>
    </row>
    <row r="146" spans="1:40" ht="45" customHeight="1" x14ac:dyDescent="0.25">
      <c r="A146" s="86"/>
      <c r="B146" s="86"/>
      <c r="C146" s="86"/>
      <c r="D146" s="13"/>
      <c r="E146" s="86"/>
      <c r="F146" s="86"/>
      <c r="G146" s="86"/>
      <c r="H146" s="86"/>
      <c r="I146" s="86"/>
      <c r="J146" s="86"/>
      <c r="K146" s="86"/>
      <c r="L146" s="87"/>
      <c r="M146" s="86"/>
      <c r="N146" s="86"/>
      <c r="O146" s="86"/>
      <c r="P146" s="86"/>
      <c r="Q146" s="86"/>
      <c r="R146" s="86"/>
      <c r="S146" s="86"/>
      <c r="T146" s="86"/>
      <c r="U146" s="87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95"/>
      <c r="AN146" s="86"/>
    </row>
    <row r="147" spans="1:40" ht="45" customHeight="1" x14ac:dyDescent="0.25">
      <c r="A147" s="86"/>
      <c r="B147" s="86"/>
      <c r="C147" s="86"/>
      <c r="D147" s="13"/>
      <c r="E147" s="86"/>
      <c r="F147" s="86"/>
      <c r="G147" s="86"/>
      <c r="H147" s="86"/>
      <c r="I147" s="86"/>
      <c r="J147" s="86"/>
      <c r="K147" s="86"/>
      <c r="L147" s="87"/>
      <c r="M147" s="86"/>
      <c r="N147" s="86"/>
      <c r="O147" s="86"/>
      <c r="P147" s="86"/>
      <c r="Q147" s="86"/>
      <c r="R147" s="86"/>
      <c r="S147" s="86"/>
      <c r="T147" s="86"/>
      <c r="U147" s="87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95"/>
      <c r="AN147" s="86"/>
    </row>
    <row r="148" spans="1:40" ht="45" customHeight="1" x14ac:dyDescent="0.25">
      <c r="A148" s="86"/>
      <c r="B148" s="86"/>
      <c r="C148" s="86"/>
      <c r="D148" s="13"/>
      <c r="E148" s="86"/>
      <c r="F148" s="86"/>
      <c r="G148" s="86"/>
      <c r="H148" s="86"/>
      <c r="I148" s="86"/>
      <c r="J148" s="86"/>
      <c r="K148" s="86"/>
      <c r="L148" s="87"/>
      <c r="M148" s="86"/>
      <c r="N148" s="86"/>
      <c r="O148" s="86"/>
      <c r="P148" s="86"/>
      <c r="Q148" s="86"/>
      <c r="R148" s="86"/>
      <c r="S148" s="86"/>
      <c r="T148" s="86"/>
      <c r="U148" s="87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95"/>
      <c r="AN148" s="86"/>
    </row>
    <row r="149" spans="1:40" ht="45" customHeight="1" x14ac:dyDescent="0.25">
      <c r="A149" s="86"/>
      <c r="B149" s="86"/>
      <c r="C149" s="86"/>
      <c r="D149" s="13"/>
      <c r="E149" s="86"/>
      <c r="F149" s="86"/>
      <c r="G149" s="86"/>
      <c r="H149" s="86"/>
      <c r="I149" s="86"/>
      <c r="J149" s="86"/>
      <c r="K149" s="86"/>
      <c r="L149" s="87"/>
      <c r="M149" s="86"/>
      <c r="N149" s="86"/>
      <c r="O149" s="86"/>
      <c r="P149" s="86"/>
      <c r="Q149" s="86"/>
      <c r="R149" s="86"/>
      <c r="S149" s="86"/>
      <c r="T149" s="86"/>
      <c r="U149" s="87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95"/>
      <c r="AN149" s="86"/>
    </row>
    <row r="150" spans="1:40" ht="45" customHeight="1" x14ac:dyDescent="0.25">
      <c r="A150" s="86"/>
      <c r="B150" s="86"/>
      <c r="C150" s="86"/>
      <c r="D150" s="13"/>
      <c r="E150" s="86"/>
      <c r="F150" s="86"/>
      <c r="G150" s="86"/>
      <c r="H150" s="86"/>
      <c r="I150" s="86"/>
      <c r="J150" s="86"/>
      <c r="K150" s="86"/>
      <c r="L150" s="87"/>
      <c r="M150" s="86"/>
      <c r="N150" s="86"/>
      <c r="O150" s="86"/>
      <c r="P150" s="86"/>
      <c r="Q150" s="86"/>
      <c r="R150" s="86"/>
      <c r="S150" s="86"/>
      <c r="T150" s="86"/>
      <c r="U150" s="87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86"/>
      <c r="AI150" s="86"/>
      <c r="AJ150" s="86"/>
      <c r="AK150" s="86"/>
      <c r="AL150" s="86"/>
      <c r="AM150" s="95"/>
      <c r="AN150" s="86"/>
    </row>
    <row r="151" spans="1:40" ht="45" customHeight="1" x14ac:dyDescent="0.25">
      <c r="A151" s="86"/>
      <c r="B151" s="86"/>
      <c r="C151" s="86"/>
      <c r="D151" s="13"/>
      <c r="E151" s="86"/>
      <c r="F151" s="86"/>
      <c r="G151" s="86"/>
      <c r="H151" s="86"/>
      <c r="I151" s="86"/>
      <c r="J151" s="86"/>
      <c r="K151" s="86"/>
      <c r="L151" s="87"/>
      <c r="M151" s="86"/>
      <c r="N151" s="86"/>
      <c r="O151" s="86"/>
      <c r="P151" s="86"/>
      <c r="Q151" s="86"/>
      <c r="R151" s="86"/>
      <c r="S151" s="86"/>
      <c r="T151" s="86"/>
      <c r="U151" s="87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95"/>
      <c r="AN151" s="86"/>
    </row>
    <row r="152" spans="1:40" ht="45" customHeight="1" x14ac:dyDescent="0.25">
      <c r="A152" s="86"/>
      <c r="B152" s="86"/>
      <c r="C152" s="86"/>
      <c r="D152" s="13"/>
      <c r="E152" s="86"/>
      <c r="F152" s="86"/>
      <c r="G152" s="86"/>
      <c r="H152" s="86"/>
      <c r="I152" s="86"/>
      <c r="J152" s="86"/>
      <c r="K152" s="86"/>
      <c r="L152" s="87"/>
      <c r="M152" s="86"/>
      <c r="N152" s="86"/>
      <c r="O152" s="86"/>
      <c r="P152" s="86"/>
      <c r="Q152" s="86"/>
      <c r="R152" s="86"/>
      <c r="S152" s="86"/>
      <c r="T152" s="86"/>
      <c r="U152" s="87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95"/>
      <c r="AN152" s="86"/>
    </row>
    <row r="153" spans="1:40" ht="45" customHeight="1" x14ac:dyDescent="0.25">
      <c r="A153" s="86"/>
      <c r="B153" s="86"/>
      <c r="C153" s="86"/>
      <c r="D153" s="13"/>
      <c r="E153" s="86"/>
      <c r="F153" s="86"/>
      <c r="G153" s="86"/>
      <c r="H153" s="86"/>
      <c r="I153" s="86"/>
      <c r="J153" s="86"/>
      <c r="K153" s="86"/>
      <c r="L153" s="87"/>
      <c r="M153" s="86"/>
      <c r="N153" s="86"/>
      <c r="O153" s="86"/>
      <c r="P153" s="86"/>
      <c r="Q153" s="86"/>
      <c r="R153" s="86"/>
      <c r="S153" s="86"/>
      <c r="T153" s="86"/>
      <c r="U153" s="87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86"/>
      <c r="AI153" s="86"/>
      <c r="AJ153" s="86"/>
      <c r="AK153" s="86"/>
      <c r="AL153" s="86"/>
      <c r="AM153" s="95"/>
      <c r="AN153" s="86"/>
    </row>
    <row r="154" spans="1:40" ht="45" customHeight="1" x14ac:dyDescent="0.25">
      <c r="A154" s="86"/>
      <c r="B154" s="86"/>
      <c r="C154" s="86"/>
      <c r="D154" s="13"/>
      <c r="E154" s="86"/>
      <c r="F154" s="86"/>
      <c r="G154" s="86"/>
      <c r="H154" s="86"/>
      <c r="I154" s="86"/>
      <c r="J154" s="86"/>
      <c r="K154" s="86"/>
      <c r="L154" s="87"/>
      <c r="M154" s="86"/>
      <c r="N154" s="86"/>
      <c r="O154" s="86"/>
      <c r="P154" s="86"/>
      <c r="Q154" s="86"/>
      <c r="R154" s="86"/>
      <c r="S154" s="86"/>
      <c r="T154" s="86"/>
      <c r="U154" s="87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86"/>
      <c r="AI154" s="86"/>
      <c r="AJ154" s="86"/>
      <c r="AK154" s="86"/>
      <c r="AL154" s="86"/>
      <c r="AM154" s="95"/>
      <c r="AN154" s="86"/>
    </row>
    <row r="155" spans="1:40" ht="45" customHeight="1" x14ac:dyDescent="0.25">
      <c r="A155" s="86"/>
      <c r="B155" s="86"/>
      <c r="C155" s="86"/>
      <c r="D155" s="13"/>
      <c r="E155" s="86"/>
      <c r="F155" s="86"/>
      <c r="G155" s="86"/>
      <c r="H155" s="86"/>
      <c r="I155" s="86"/>
      <c r="J155" s="86"/>
      <c r="K155" s="86"/>
      <c r="L155" s="87"/>
      <c r="M155" s="86"/>
      <c r="N155" s="86"/>
      <c r="O155" s="86"/>
      <c r="P155" s="86"/>
      <c r="Q155" s="86"/>
      <c r="R155" s="86"/>
      <c r="S155" s="86"/>
      <c r="T155" s="86"/>
      <c r="U155" s="87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86"/>
      <c r="AI155" s="86"/>
      <c r="AJ155" s="86"/>
      <c r="AK155" s="86"/>
      <c r="AL155" s="86"/>
      <c r="AM155" s="95"/>
      <c r="AN155" s="86"/>
    </row>
    <row r="156" spans="1:40" ht="45" customHeight="1" x14ac:dyDescent="0.25">
      <c r="A156" s="86"/>
      <c r="B156" s="86"/>
      <c r="C156" s="86"/>
      <c r="D156" s="13"/>
      <c r="E156" s="86"/>
      <c r="F156" s="86"/>
      <c r="G156" s="86"/>
      <c r="H156" s="86"/>
      <c r="I156" s="86"/>
      <c r="J156" s="86"/>
      <c r="K156" s="86"/>
      <c r="L156" s="87"/>
      <c r="M156" s="86"/>
      <c r="N156" s="86"/>
      <c r="O156" s="86"/>
      <c r="P156" s="86"/>
      <c r="Q156" s="86"/>
      <c r="R156" s="86"/>
      <c r="S156" s="86"/>
      <c r="T156" s="86"/>
      <c r="U156" s="87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  <c r="AH156" s="86"/>
      <c r="AI156" s="86"/>
      <c r="AJ156" s="86"/>
      <c r="AK156" s="86"/>
      <c r="AL156" s="86"/>
      <c r="AM156" s="95"/>
      <c r="AN156" s="86"/>
    </row>
    <row r="157" spans="1:40" ht="45" customHeight="1" x14ac:dyDescent="0.25">
      <c r="A157" s="86"/>
      <c r="B157" s="86"/>
      <c r="C157" s="86"/>
      <c r="D157" s="13"/>
      <c r="E157" s="86"/>
      <c r="F157" s="86"/>
      <c r="G157" s="86"/>
      <c r="H157" s="86"/>
      <c r="I157" s="86"/>
      <c r="J157" s="86"/>
      <c r="K157" s="86"/>
      <c r="L157" s="87"/>
      <c r="M157" s="86"/>
      <c r="N157" s="86"/>
      <c r="O157" s="86"/>
      <c r="P157" s="86"/>
      <c r="Q157" s="86"/>
      <c r="R157" s="86"/>
      <c r="S157" s="86"/>
      <c r="T157" s="86"/>
      <c r="U157" s="87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86"/>
      <c r="AI157" s="86"/>
      <c r="AJ157" s="86"/>
      <c r="AK157" s="86"/>
      <c r="AL157" s="86"/>
      <c r="AM157" s="95"/>
      <c r="AN157" s="86"/>
    </row>
    <row r="158" spans="1:40" ht="45" customHeight="1" x14ac:dyDescent="0.25">
      <c r="A158" s="86"/>
      <c r="B158" s="86"/>
      <c r="C158" s="86"/>
      <c r="D158" s="13"/>
      <c r="E158" s="86"/>
      <c r="F158" s="86"/>
      <c r="G158" s="86"/>
      <c r="H158" s="86"/>
      <c r="I158" s="86"/>
      <c r="J158" s="86"/>
      <c r="K158" s="86"/>
      <c r="L158" s="87"/>
      <c r="M158" s="86"/>
      <c r="N158" s="86"/>
      <c r="O158" s="86"/>
      <c r="P158" s="86"/>
      <c r="Q158" s="86"/>
      <c r="R158" s="86"/>
      <c r="S158" s="86"/>
      <c r="T158" s="86"/>
      <c r="U158" s="87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86"/>
      <c r="AI158" s="86"/>
      <c r="AJ158" s="86"/>
      <c r="AK158" s="86"/>
      <c r="AL158" s="86"/>
      <c r="AM158" s="95"/>
      <c r="AN158" s="86"/>
    </row>
    <row r="159" spans="1:40" ht="45" customHeight="1" x14ac:dyDescent="0.25">
      <c r="A159" s="86"/>
      <c r="B159" s="86"/>
      <c r="C159" s="86"/>
      <c r="D159" s="13"/>
      <c r="E159" s="86"/>
      <c r="F159" s="86"/>
      <c r="G159" s="86"/>
      <c r="H159" s="86"/>
      <c r="I159" s="86"/>
      <c r="J159" s="86"/>
      <c r="K159" s="86"/>
      <c r="L159" s="87"/>
      <c r="M159" s="86"/>
      <c r="N159" s="86"/>
      <c r="O159" s="86"/>
      <c r="P159" s="86"/>
      <c r="Q159" s="86"/>
      <c r="R159" s="86"/>
      <c r="S159" s="86"/>
      <c r="T159" s="86"/>
      <c r="U159" s="87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86"/>
      <c r="AI159" s="86"/>
      <c r="AJ159" s="86"/>
      <c r="AK159" s="86"/>
      <c r="AL159" s="86"/>
      <c r="AM159" s="95"/>
      <c r="AN159" s="86"/>
    </row>
    <row r="160" spans="1:40" ht="45" customHeight="1" x14ac:dyDescent="0.25">
      <c r="A160" s="86"/>
      <c r="B160" s="86"/>
      <c r="C160" s="86"/>
      <c r="D160" s="13"/>
      <c r="E160" s="86"/>
      <c r="F160" s="86"/>
      <c r="G160" s="86"/>
      <c r="H160" s="86"/>
      <c r="I160" s="86"/>
      <c r="J160" s="86"/>
      <c r="K160" s="86"/>
      <c r="L160" s="87"/>
      <c r="M160" s="86"/>
      <c r="N160" s="86"/>
      <c r="O160" s="86"/>
      <c r="P160" s="86"/>
      <c r="Q160" s="86"/>
      <c r="R160" s="86"/>
      <c r="S160" s="86"/>
      <c r="T160" s="86"/>
      <c r="U160" s="87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95"/>
      <c r="AN160" s="86"/>
    </row>
    <row r="161" spans="1:40" ht="45" customHeight="1" x14ac:dyDescent="0.25">
      <c r="A161" s="86"/>
      <c r="B161" s="86"/>
      <c r="C161" s="86"/>
      <c r="D161" s="13"/>
      <c r="E161" s="86"/>
      <c r="F161" s="86"/>
      <c r="G161" s="86"/>
      <c r="H161" s="86"/>
      <c r="I161" s="86"/>
      <c r="J161" s="86"/>
      <c r="K161" s="86"/>
      <c r="L161" s="87"/>
      <c r="M161" s="86"/>
      <c r="N161" s="86"/>
      <c r="O161" s="86"/>
      <c r="P161" s="86"/>
      <c r="Q161" s="86"/>
      <c r="R161" s="86"/>
      <c r="S161" s="86"/>
      <c r="T161" s="86"/>
      <c r="U161" s="87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86"/>
      <c r="AI161" s="86"/>
      <c r="AJ161" s="86"/>
      <c r="AK161" s="86"/>
      <c r="AL161" s="86"/>
      <c r="AM161" s="95"/>
      <c r="AN161" s="86"/>
    </row>
    <row r="162" spans="1:40" ht="45" customHeight="1" x14ac:dyDescent="0.25">
      <c r="A162" s="86"/>
      <c r="B162" s="86"/>
      <c r="C162" s="86"/>
      <c r="D162" s="13"/>
      <c r="E162" s="86"/>
      <c r="F162" s="86"/>
      <c r="G162" s="86"/>
      <c r="H162" s="86"/>
      <c r="I162" s="86"/>
      <c r="J162" s="86"/>
      <c r="K162" s="86"/>
      <c r="L162" s="87"/>
      <c r="M162" s="86"/>
      <c r="N162" s="86"/>
      <c r="O162" s="86"/>
      <c r="P162" s="86"/>
      <c r="Q162" s="86"/>
      <c r="R162" s="86"/>
      <c r="S162" s="86"/>
      <c r="T162" s="86"/>
      <c r="U162" s="87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86"/>
      <c r="AI162" s="86"/>
      <c r="AJ162" s="86"/>
      <c r="AK162" s="86"/>
      <c r="AL162" s="86"/>
      <c r="AM162" s="95"/>
      <c r="AN162" s="86"/>
    </row>
    <row r="163" spans="1:40" ht="45" customHeight="1" x14ac:dyDescent="0.25">
      <c r="A163" s="86"/>
      <c r="B163" s="86"/>
      <c r="C163" s="86"/>
      <c r="D163" s="13"/>
      <c r="E163" s="86"/>
      <c r="F163" s="86"/>
      <c r="G163" s="86"/>
      <c r="H163" s="86"/>
      <c r="I163" s="86"/>
      <c r="J163" s="86"/>
      <c r="K163" s="86"/>
      <c r="L163" s="87"/>
      <c r="M163" s="86"/>
      <c r="N163" s="86"/>
      <c r="O163" s="86"/>
      <c r="P163" s="86"/>
      <c r="Q163" s="86"/>
      <c r="R163" s="86"/>
      <c r="S163" s="86"/>
      <c r="T163" s="86"/>
      <c r="U163" s="87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86"/>
      <c r="AI163" s="86"/>
      <c r="AJ163" s="86"/>
      <c r="AK163" s="86"/>
      <c r="AL163" s="86"/>
      <c r="AM163" s="95"/>
      <c r="AN163" s="86"/>
    </row>
    <row r="164" spans="1:40" ht="45" customHeight="1" x14ac:dyDescent="0.25">
      <c r="A164" s="86"/>
      <c r="B164" s="86"/>
      <c r="C164" s="86"/>
      <c r="D164" s="13"/>
      <c r="E164" s="86"/>
      <c r="F164" s="86"/>
      <c r="G164" s="86"/>
      <c r="H164" s="86"/>
      <c r="I164" s="86"/>
      <c r="J164" s="86"/>
      <c r="K164" s="86"/>
      <c r="L164" s="87"/>
      <c r="M164" s="86"/>
      <c r="N164" s="86"/>
      <c r="O164" s="86"/>
      <c r="P164" s="86"/>
      <c r="Q164" s="86"/>
      <c r="R164" s="86"/>
      <c r="S164" s="86"/>
      <c r="T164" s="86"/>
      <c r="U164" s="87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95"/>
      <c r="AN164" s="86"/>
    </row>
    <row r="165" spans="1:40" ht="45" customHeight="1" x14ac:dyDescent="0.25">
      <c r="A165" s="86"/>
      <c r="B165" s="86"/>
      <c r="C165" s="86"/>
      <c r="D165" s="13"/>
      <c r="E165" s="86"/>
      <c r="F165" s="86"/>
      <c r="G165" s="86"/>
      <c r="H165" s="86"/>
      <c r="I165" s="86"/>
      <c r="J165" s="86"/>
      <c r="K165" s="86"/>
      <c r="L165" s="87"/>
      <c r="M165" s="86"/>
      <c r="N165" s="86"/>
      <c r="O165" s="86"/>
      <c r="P165" s="86"/>
      <c r="Q165" s="86"/>
      <c r="R165" s="86"/>
      <c r="S165" s="86"/>
      <c r="T165" s="86"/>
      <c r="U165" s="87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86"/>
      <c r="AI165" s="86"/>
      <c r="AJ165" s="86"/>
      <c r="AK165" s="86"/>
      <c r="AL165" s="86"/>
      <c r="AM165" s="95"/>
      <c r="AN165" s="86"/>
    </row>
    <row r="166" spans="1:40" ht="45" customHeight="1" x14ac:dyDescent="0.25">
      <c r="A166" s="86"/>
      <c r="B166" s="86"/>
      <c r="C166" s="86"/>
      <c r="D166" s="13"/>
      <c r="E166" s="86"/>
      <c r="F166" s="86"/>
      <c r="G166" s="86"/>
      <c r="H166" s="86"/>
      <c r="I166" s="86"/>
      <c r="J166" s="86"/>
      <c r="K166" s="86"/>
      <c r="L166" s="87"/>
      <c r="M166" s="86"/>
      <c r="N166" s="86"/>
      <c r="O166" s="86"/>
      <c r="P166" s="86"/>
      <c r="Q166" s="86"/>
      <c r="R166" s="86"/>
      <c r="S166" s="86"/>
      <c r="T166" s="86"/>
      <c r="U166" s="87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95"/>
      <c r="AN166" s="86"/>
    </row>
    <row r="167" spans="1:40" ht="45" customHeight="1" x14ac:dyDescent="0.25">
      <c r="A167" s="86"/>
      <c r="B167" s="86"/>
      <c r="C167" s="86"/>
      <c r="D167" s="13"/>
      <c r="E167" s="86"/>
      <c r="F167" s="86"/>
      <c r="G167" s="86"/>
      <c r="H167" s="86"/>
      <c r="I167" s="86"/>
      <c r="J167" s="86"/>
      <c r="K167" s="86"/>
      <c r="L167" s="87"/>
      <c r="M167" s="86"/>
      <c r="N167" s="86"/>
      <c r="O167" s="86"/>
      <c r="P167" s="86"/>
      <c r="Q167" s="86"/>
      <c r="R167" s="86"/>
      <c r="S167" s="86"/>
      <c r="T167" s="86"/>
      <c r="U167" s="87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95"/>
      <c r="AN167" s="86"/>
    </row>
    <row r="168" spans="1:40" ht="45" customHeight="1" x14ac:dyDescent="0.25">
      <c r="A168" s="86"/>
      <c r="B168" s="86"/>
      <c r="C168" s="86"/>
      <c r="D168" s="13"/>
      <c r="E168" s="86"/>
      <c r="F168" s="86"/>
      <c r="G168" s="86"/>
      <c r="H168" s="86"/>
      <c r="I168" s="86"/>
      <c r="J168" s="86"/>
      <c r="K168" s="86"/>
      <c r="L168" s="87"/>
      <c r="M168" s="86"/>
      <c r="N168" s="86"/>
      <c r="O168" s="86"/>
      <c r="P168" s="86"/>
      <c r="Q168" s="86"/>
      <c r="R168" s="86"/>
      <c r="S168" s="86"/>
      <c r="T168" s="86"/>
      <c r="U168" s="87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95"/>
      <c r="AN168" s="86"/>
    </row>
    <row r="169" spans="1:40" ht="45" customHeight="1" x14ac:dyDescent="0.25">
      <c r="A169" s="86"/>
      <c r="B169" s="86"/>
      <c r="C169" s="86"/>
      <c r="D169" s="13"/>
      <c r="E169" s="86"/>
      <c r="F169" s="86"/>
      <c r="G169" s="86"/>
      <c r="H169" s="86"/>
      <c r="I169" s="86"/>
      <c r="J169" s="86"/>
      <c r="K169" s="86"/>
      <c r="L169" s="87"/>
      <c r="M169" s="86"/>
      <c r="N169" s="86"/>
      <c r="O169" s="86"/>
      <c r="P169" s="86"/>
      <c r="Q169" s="86"/>
      <c r="R169" s="86"/>
      <c r="S169" s="86"/>
      <c r="T169" s="86"/>
      <c r="U169" s="87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95"/>
      <c r="AN169" s="86"/>
    </row>
    <row r="170" spans="1:40" ht="45" customHeight="1" x14ac:dyDescent="0.25">
      <c r="A170" s="86"/>
      <c r="B170" s="86"/>
      <c r="C170" s="86"/>
      <c r="D170" s="13"/>
      <c r="E170" s="86"/>
      <c r="F170" s="86"/>
      <c r="G170" s="86"/>
      <c r="H170" s="86"/>
      <c r="I170" s="86"/>
      <c r="J170" s="86"/>
      <c r="K170" s="86"/>
      <c r="L170" s="87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95"/>
      <c r="AN170" s="86"/>
    </row>
    <row r="171" spans="1:40" ht="45" customHeight="1" x14ac:dyDescent="0.25">
      <c r="A171" s="86"/>
      <c r="B171" s="86"/>
      <c r="C171" s="86"/>
      <c r="D171" s="13"/>
      <c r="E171" s="86"/>
      <c r="F171" s="86"/>
      <c r="G171" s="86"/>
      <c r="H171" s="86"/>
      <c r="I171" s="86"/>
      <c r="J171" s="86"/>
      <c r="K171" s="86"/>
      <c r="L171" s="87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86"/>
      <c r="AI171" s="86"/>
      <c r="AJ171" s="86"/>
      <c r="AK171" s="86"/>
      <c r="AL171" s="86"/>
      <c r="AM171" s="95"/>
      <c r="AN171" s="86"/>
    </row>
    <row r="172" spans="1:40" ht="45" customHeight="1" x14ac:dyDescent="0.25">
      <c r="A172" s="86"/>
      <c r="B172" s="86"/>
      <c r="C172" s="86"/>
      <c r="D172" s="13"/>
      <c r="E172" s="86"/>
      <c r="F172" s="86"/>
      <c r="G172" s="86"/>
      <c r="H172" s="86"/>
      <c r="I172" s="86"/>
      <c r="J172" s="86"/>
      <c r="K172" s="86"/>
      <c r="L172" s="87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95"/>
      <c r="AN172" s="86"/>
    </row>
    <row r="173" spans="1:40" ht="45" customHeight="1" x14ac:dyDescent="0.25">
      <c r="A173" s="86"/>
      <c r="B173" s="86"/>
      <c r="C173" s="86"/>
      <c r="D173" s="13"/>
      <c r="E173" s="86"/>
      <c r="F173" s="86"/>
      <c r="G173" s="86"/>
      <c r="H173" s="86"/>
      <c r="I173" s="86"/>
      <c r="J173" s="86"/>
      <c r="K173" s="86"/>
      <c r="L173" s="87"/>
      <c r="M173" s="86"/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86"/>
      <c r="AI173" s="86"/>
      <c r="AJ173" s="86"/>
      <c r="AK173" s="86"/>
      <c r="AL173" s="86"/>
      <c r="AM173" s="95"/>
      <c r="AN173" s="86"/>
    </row>
    <row r="174" spans="1:40" ht="45" customHeight="1" x14ac:dyDescent="0.25">
      <c r="A174" s="86"/>
      <c r="B174" s="86"/>
      <c r="C174" s="86"/>
      <c r="D174" s="13"/>
      <c r="E174" s="86"/>
      <c r="F174" s="86"/>
      <c r="G174" s="86"/>
      <c r="H174" s="86"/>
      <c r="I174" s="86"/>
      <c r="J174" s="86"/>
      <c r="K174" s="86"/>
      <c r="L174" s="87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95"/>
      <c r="AN174" s="86"/>
    </row>
    <row r="175" spans="1:40" ht="45" customHeight="1" x14ac:dyDescent="0.25">
      <c r="A175" s="86"/>
      <c r="B175" s="86"/>
      <c r="C175" s="86"/>
      <c r="D175" s="13"/>
      <c r="E175" s="86"/>
      <c r="F175" s="86"/>
      <c r="G175" s="86"/>
      <c r="H175" s="86"/>
      <c r="I175" s="86"/>
      <c r="J175" s="86"/>
      <c r="K175" s="86"/>
      <c r="L175" s="87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95"/>
      <c r="AN175" s="86"/>
    </row>
    <row r="176" spans="1:40" ht="45" customHeight="1" x14ac:dyDescent="0.25">
      <c r="A176" s="86"/>
      <c r="B176" s="86"/>
      <c r="C176" s="86"/>
      <c r="D176" s="13"/>
      <c r="E176" s="86"/>
      <c r="F176" s="86"/>
      <c r="G176" s="86"/>
      <c r="H176" s="86"/>
      <c r="I176" s="86"/>
      <c r="J176" s="86"/>
      <c r="K176" s="86"/>
      <c r="L176" s="87"/>
      <c r="M176" s="86"/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86"/>
      <c r="AI176" s="86"/>
      <c r="AJ176" s="86"/>
      <c r="AK176" s="86"/>
      <c r="AL176" s="86"/>
      <c r="AM176" s="95"/>
      <c r="AN176" s="86"/>
    </row>
    <row r="177" spans="1:40" ht="45" customHeight="1" x14ac:dyDescent="0.25">
      <c r="A177" s="86"/>
      <c r="B177" s="86"/>
      <c r="C177" s="86"/>
      <c r="D177" s="13"/>
      <c r="E177" s="86"/>
      <c r="F177" s="86"/>
      <c r="G177" s="86"/>
      <c r="H177" s="86"/>
      <c r="I177" s="86"/>
      <c r="J177" s="86"/>
      <c r="K177" s="86"/>
      <c r="L177" s="87"/>
      <c r="M177" s="86"/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86"/>
      <c r="AI177" s="86"/>
      <c r="AJ177" s="86"/>
      <c r="AK177" s="86"/>
      <c r="AL177" s="86"/>
      <c r="AM177" s="95"/>
      <c r="AN177" s="86"/>
    </row>
    <row r="178" spans="1:40" ht="45" customHeight="1" x14ac:dyDescent="0.25">
      <c r="A178" s="86"/>
      <c r="B178" s="86"/>
      <c r="C178" s="86"/>
      <c r="D178" s="13"/>
      <c r="E178" s="86"/>
      <c r="F178" s="86"/>
      <c r="G178" s="86"/>
      <c r="H178" s="86"/>
      <c r="I178" s="86"/>
      <c r="J178" s="86"/>
      <c r="K178" s="86"/>
      <c r="L178" s="87"/>
      <c r="M178" s="86"/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86"/>
      <c r="AI178" s="86"/>
      <c r="AJ178" s="86"/>
      <c r="AK178" s="86"/>
      <c r="AL178" s="86"/>
      <c r="AM178" s="95"/>
      <c r="AN178" s="86"/>
    </row>
    <row r="179" spans="1:40" ht="45" customHeight="1" x14ac:dyDescent="0.25">
      <c r="A179" s="86"/>
      <c r="B179" s="86"/>
      <c r="C179" s="86"/>
      <c r="D179" s="13"/>
      <c r="E179" s="86"/>
      <c r="F179" s="86"/>
      <c r="G179" s="86"/>
      <c r="H179" s="86"/>
      <c r="I179" s="86"/>
      <c r="J179" s="86"/>
      <c r="K179" s="86"/>
      <c r="L179" s="87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86"/>
      <c r="AI179" s="86"/>
      <c r="AJ179" s="86"/>
      <c r="AK179" s="86"/>
      <c r="AL179" s="86"/>
      <c r="AM179" s="95"/>
      <c r="AN179" s="86"/>
    </row>
    <row r="180" spans="1:40" ht="45" customHeight="1" x14ac:dyDescent="0.25">
      <c r="A180" s="86"/>
      <c r="B180" s="86"/>
      <c r="C180" s="86"/>
      <c r="D180" s="13"/>
      <c r="E180" s="86"/>
      <c r="F180" s="86"/>
      <c r="G180" s="86"/>
      <c r="H180" s="86"/>
      <c r="I180" s="86"/>
      <c r="J180" s="86"/>
      <c r="K180" s="86"/>
      <c r="L180" s="87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86"/>
      <c r="AI180" s="86"/>
      <c r="AJ180" s="86"/>
      <c r="AK180" s="86"/>
      <c r="AL180" s="86"/>
      <c r="AM180" s="95"/>
      <c r="AN180" s="86"/>
    </row>
    <row r="181" spans="1:40" ht="45" customHeight="1" x14ac:dyDescent="0.25">
      <c r="A181" s="86"/>
      <c r="B181" s="86"/>
      <c r="C181" s="86"/>
      <c r="D181" s="13"/>
      <c r="E181" s="86"/>
      <c r="F181" s="86"/>
      <c r="G181" s="86"/>
      <c r="H181" s="86"/>
      <c r="I181" s="86"/>
      <c r="J181" s="86"/>
      <c r="K181" s="86"/>
      <c r="L181" s="87"/>
      <c r="M181" s="86"/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86"/>
      <c r="AI181" s="86"/>
      <c r="AJ181" s="86"/>
      <c r="AK181" s="86"/>
      <c r="AL181" s="86"/>
      <c r="AM181" s="95"/>
      <c r="AN181" s="86"/>
    </row>
    <row r="182" spans="1:40" ht="45" customHeight="1" x14ac:dyDescent="0.25">
      <c r="A182" s="86"/>
      <c r="B182" s="86"/>
      <c r="C182" s="86"/>
      <c r="D182" s="13"/>
      <c r="E182" s="86"/>
      <c r="F182" s="86"/>
      <c r="G182" s="86"/>
      <c r="H182" s="86"/>
      <c r="I182" s="86"/>
      <c r="J182" s="86"/>
      <c r="K182" s="86"/>
      <c r="L182" s="87"/>
      <c r="M182" s="86"/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86"/>
      <c r="AI182" s="86"/>
      <c r="AJ182" s="86"/>
      <c r="AK182" s="86"/>
      <c r="AL182" s="86"/>
      <c r="AM182" s="95"/>
      <c r="AN182" s="86"/>
    </row>
    <row r="183" spans="1:40" ht="45" customHeight="1" x14ac:dyDescent="0.25">
      <c r="A183" s="86"/>
      <c r="B183" s="86"/>
      <c r="C183" s="86"/>
      <c r="D183" s="13"/>
      <c r="E183" s="86"/>
      <c r="F183" s="86"/>
      <c r="G183" s="86"/>
      <c r="H183" s="86"/>
      <c r="I183" s="86"/>
      <c r="J183" s="86"/>
      <c r="K183" s="86"/>
      <c r="L183" s="87"/>
      <c r="M183" s="86"/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86"/>
      <c r="AI183" s="86"/>
      <c r="AJ183" s="86"/>
      <c r="AK183" s="86"/>
      <c r="AL183" s="86"/>
      <c r="AM183" s="95"/>
      <c r="AN183" s="86"/>
    </row>
    <row r="184" spans="1:40" ht="45" customHeight="1" x14ac:dyDescent="0.25">
      <c r="A184" s="86"/>
      <c r="B184" s="86"/>
      <c r="C184" s="86"/>
      <c r="D184" s="13"/>
      <c r="E184" s="86"/>
      <c r="F184" s="86"/>
      <c r="G184" s="86"/>
      <c r="H184" s="86"/>
      <c r="I184" s="86"/>
      <c r="J184" s="86"/>
      <c r="K184" s="86"/>
      <c r="L184" s="87"/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95"/>
      <c r="AN184" s="86"/>
    </row>
    <row r="185" spans="1:40" ht="45" customHeight="1" x14ac:dyDescent="0.25">
      <c r="A185" s="86"/>
      <c r="B185" s="86"/>
      <c r="C185" s="86"/>
      <c r="D185" s="13"/>
      <c r="E185" s="86"/>
      <c r="F185" s="86"/>
      <c r="G185" s="86"/>
      <c r="H185" s="86"/>
      <c r="I185" s="86"/>
      <c r="J185" s="86"/>
      <c r="K185" s="86"/>
      <c r="L185" s="87"/>
      <c r="M185" s="86"/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86"/>
      <c r="AI185" s="86"/>
      <c r="AJ185" s="86"/>
      <c r="AK185" s="86"/>
      <c r="AL185" s="86"/>
      <c r="AM185" s="95"/>
      <c r="AN185" s="86"/>
    </row>
    <row r="186" spans="1:40" ht="45" customHeight="1" x14ac:dyDescent="0.25">
      <c r="A186" s="86"/>
      <c r="B186" s="86"/>
      <c r="C186" s="86"/>
      <c r="D186" s="13"/>
      <c r="E186" s="86"/>
      <c r="F186" s="86"/>
      <c r="G186" s="86"/>
      <c r="H186" s="86"/>
      <c r="I186" s="86"/>
      <c r="J186" s="86"/>
      <c r="K186" s="86"/>
      <c r="L186" s="87"/>
      <c r="M186" s="86"/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95"/>
      <c r="AN186" s="86"/>
    </row>
    <row r="187" spans="1:40" ht="45" customHeight="1" x14ac:dyDescent="0.25">
      <c r="A187" s="86"/>
      <c r="B187" s="86"/>
      <c r="C187" s="86"/>
      <c r="D187" s="13"/>
      <c r="E187" s="86"/>
      <c r="F187" s="86"/>
      <c r="G187" s="86"/>
      <c r="H187" s="86"/>
      <c r="I187" s="86"/>
      <c r="J187" s="86"/>
      <c r="K187" s="86"/>
      <c r="L187" s="87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95"/>
      <c r="AN187" s="86"/>
    </row>
    <row r="188" spans="1:40" ht="45" customHeight="1" x14ac:dyDescent="0.25">
      <c r="A188" s="86"/>
      <c r="B188" s="86"/>
      <c r="C188" s="86"/>
      <c r="D188" s="13"/>
      <c r="E188" s="86"/>
      <c r="F188" s="86"/>
      <c r="G188" s="86"/>
      <c r="H188" s="86"/>
      <c r="I188" s="86"/>
      <c r="J188" s="86"/>
      <c r="K188" s="86"/>
      <c r="L188" s="87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95"/>
      <c r="AN188" s="86"/>
    </row>
    <row r="189" spans="1:40" ht="45" customHeight="1" x14ac:dyDescent="0.25">
      <c r="A189" s="86"/>
      <c r="B189" s="86"/>
      <c r="C189" s="86"/>
      <c r="D189" s="13"/>
      <c r="E189" s="86"/>
      <c r="F189" s="86"/>
      <c r="G189" s="86"/>
      <c r="H189" s="86"/>
      <c r="I189" s="86"/>
      <c r="J189" s="86"/>
      <c r="K189" s="86"/>
      <c r="L189" s="87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95"/>
      <c r="AN189" s="86"/>
    </row>
    <row r="190" spans="1:40" ht="45" customHeight="1" x14ac:dyDescent="0.25">
      <c r="A190" s="86"/>
      <c r="B190" s="86"/>
      <c r="C190" s="86"/>
      <c r="D190" s="13"/>
      <c r="E190" s="86"/>
      <c r="F190" s="86"/>
      <c r="G190" s="86"/>
      <c r="H190" s="86"/>
      <c r="I190" s="86"/>
      <c r="J190" s="86"/>
      <c r="K190" s="86"/>
      <c r="L190" s="87"/>
      <c r="M190" s="86"/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86"/>
      <c r="AI190" s="86"/>
      <c r="AJ190" s="86"/>
      <c r="AK190" s="86"/>
      <c r="AL190" s="86"/>
      <c r="AM190" s="95"/>
      <c r="AN190" s="86"/>
    </row>
    <row r="191" spans="1:40" ht="45" customHeight="1" x14ac:dyDescent="0.25">
      <c r="A191" s="86"/>
      <c r="B191" s="86"/>
      <c r="C191" s="86"/>
      <c r="D191" s="13"/>
      <c r="E191" s="86"/>
      <c r="F191" s="86"/>
      <c r="G191" s="86"/>
      <c r="H191" s="86"/>
      <c r="I191" s="86"/>
      <c r="J191" s="86"/>
      <c r="K191" s="86"/>
      <c r="L191" s="87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95"/>
      <c r="AN191" s="86"/>
    </row>
    <row r="192" spans="1:40" ht="45" customHeight="1" x14ac:dyDescent="0.25">
      <c r="A192" s="86"/>
      <c r="B192" s="86"/>
      <c r="C192" s="86"/>
      <c r="D192" s="13"/>
      <c r="E192" s="86"/>
      <c r="F192" s="86"/>
      <c r="G192" s="86"/>
      <c r="H192" s="86"/>
      <c r="I192" s="86"/>
      <c r="J192" s="86"/>
      <c r="K192" s="86"/>
      <c r="L192" s="87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95"/>
      <c r="AN192" s="86"/>
    </row>
    <row r="193" spans="1:40" ht="45" customHeight="1" x14ac:dyDescent="0.25">
      <c r="A193" s="86"/>
      <c r="B193" s="86"/>
      <c r="C193" s="86"/>
      <c r="D193" s="13"/>
      <c r="E193" s="86"/>
      <c r="F193" s="86"/>
      <c r="G193" s="86"/>
      <c r="H193" s="86"/>
      <c r="I193" s="86"/>
      <c r="J193" s="86"/>
      <c r="K193" s="86"/>
      <c r="L193" s="87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95"/>
      <c r="AN193" s="86"/>
    </row>
    <row r="194" spans="1:40" ht="45" customHeight="1" x14ac:dyDescent="0.25">
      <c r="A194" s="86"/>
      <c r="B194" s="86"/>
      <c r="C194" s="86"/>
      <c r="D194" s="13"/>
      <c r="E194" s="86"/>
      <c r="F194" s="86"/>
      <c r="G194" s="86"/>
      <c r="H194" s="86"/>
      <c r="I194" s="86"/>
      <c r="J194" s="86"/>
      <c r="K194" s="86"/>
      <c r="L194" s="87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95"/>
      <c r="AN194" s="86"/>
    </row>
    <row r="195" spans="1:40" ht="45" customHeight="1" x14ac:dyDescent="0.25">
      <c r="A195" s="86"/>
      <c r="B195" s="86"/>
      <c r="C195" s="86"/>
      <c r="D195" s="13"/>
      <c r="E195" s="86"/>
      <c r="F195" s="86"/>
      <c r="G195" s="86"/>
      <c r="H195" s="86"/>
      <c r="I195" s="86"/>
      <c r="J195" s="86"/>
      <c r="K195" s="86"/>
      <c r="L195" s="87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95"/>
      <c r="AN195" s="86"/>
    </row>
    <row r="196" spans="1:40" ht="45" customHeight="1" x14ac:dyDescent="0.25">
      <c r="A196" s="86"/>
      <c r="B196" s="86"/>
      <c r="C196" s="86"/>
      <c r="D196" s="13"/>
      <c r="E196" s="86"/>
      <c r="F196" s="86"/>
      <c r="G196" s="86"/>
      <c r="H196" s="86"/>
      <c r="I196" s="86"/>
      <c r="J196" s="86"/>
      <c r="K196" s="86"/>
      <c r="L196" s="87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95"/>
      <c r="AN196" s="86"/>
    </row>
    <row r="197" spans="1:40" ht="45" customHeight="1" x14ac:dyDescent="0.25">
      <c r="A197" s="86"/>
      <c r="B197" s="86"/>
      <c r="C197" s="86"/>
      <c r="D197" s="13"/>
      <c r="E197" s="86"/>
      <c r="F197" s="86"/>
      <c r="G197" s="86"/>
      <c r="H197" s="86"/>
      <c r="I197" s="86"/>
      <c r="J197" s="86"/>
      <c r="K197" s="86"/>
      <c r="L197" s="87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86"/>
      <c r="AI197" s="86"/>
      <c r="AJ197" s="86"/>
      <c r="AK197" s="86"/>
      <c r="AL197" s="86"/>
      <c r="AM197" s="95"/>
      <c r="AN197" s="86"/>
    </row>
    <row r="198" spans="1:40" ht="45" customHeight="1" x14ac:dyDescent="0.25">
      <c r="A198" s="86"/>
      <c r="B198" s="86"/>
      <c r="C198" s="86"/>
      <c r="D198" s="13"/>
      <c r="E198" s="86"/>
      <c r="F198" s="86"/>
      <c r="G198" s="86"/>
      <c r="H198" s="86"/>
      <c r="I198" s="86"/>
      <c r="J198" s="86"/>
      <c r="K198" s="86"/>
      <c r="L198" s="87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86"/>
      <c r="AI198" s="86"/>
      <c r="AJ198" s="86"/>
      <c r="AK198" s="86"/>
      <c r="AL198" s="86"/>
      <c r="AM198" s="95"/>
      <c r="AN198" s="86"/>
    </row>
    <row r="199" spans="1:40" ht="45" customHeight="1" x14ac:dyDescent="0.25">
      <c r="A199" s="86"/>
      <c r="B199" s="86"/>
      <c r="C199" s="86"/>
      <c r="D199" s="13"/>
      <c r="E199" s="86"/>
      <c r="F199" s="86"/>
      <c r="G199" s="86"/>
      <c r="H199" s="86"/>
      <c r="I199" s="86"/>
      <c r="J199" s="86"/>
      <c r="K199" s="86"/>
      <c r="L199" s="87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86"/>
      <c r="AI199" s="86"/>
      <c r="AJ199" s="86"/>
      <c r="AK199" s="86"/>
      <c r="AL199" s="86"/>
      <c r="AM199" s="95"/>
      <c r="AN199" s="86"/>
    </row>
    <row r="200" spans="1:40" ht="45" customHeight="1" x14ac:dyDescent="0.25">
      <c r="A200" s="86"/>
      <c r="B200" s="86"/>
      <c r="C200" s="86"/>
      <c r="D200" s="13"/>
      <c r="E200" s="86"/>
      <c r="F200" s="86"/>
      <c r="G200" s="86"/>
      <c r="H200" s="86"/>
      <c r="I200" s="86"/>
      <c r="J200" s="86"/>
      <c r="K200" s="86"/>
      <c r="L200" s="87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95"/>
      <c r="AN200" s="86"/>
    </row>
    <row r="201" spans="1:40" ht="45" customHeight="1" x14ac:dyDescent="0.25">
      <c r="A201" s="86"/>
      <c r="B201" s="86"/>
      <c r="C201" s="86"/>
      <c r="D201" s="13"/>
      <c r="E201" s="86"/>
      <c r="F201" s="86"/>
      <c r="G201" s="86"/>
      <c r="H201" s="86"/>
      <c r="I201" s="86"/>
      <c r="J201" s="86"/>
      <c r="K201" s="86"/>
      <c r="L201" s="87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95"/>
      <c r="AN201" s="86"/>
    </row>
    <row r="202" spans="1:40" ht="45" customHeight="1" x14ac:dyDescent="0.25">
      <c r="A202" s="86"/>
      <c r="B202" s="86"/>
      <c r="C202" s="86"/>
      <c r="D202" s="13"/>
      <c r="E202" s="86"/>
      <c r="F202" s="86"/>
      <c r="G202" s="86"/>
      <c r="H202" s="86"/>
      <c r="I202" s="86"/>
      <c r="J202" s="86"/>
      <c r="K202" s="86"/>
      <c r="L202" s="87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95"/>
      <c r="AN202" s="86"/>
    </row>
    <row r="203" spans="1:40" ht="45" customHeight="1" x14ac:dyDescent="0.25">
      <c r="A203" s="86"/>
      <c r="B203" s="86"/>
      <c r="C203" s="86"/>
      <c r="D203" s="13"/>
      <c r="E203" s="86"/>
      <c r="F203" s="86"/>
      <c r="G203" s="86"/>
      <c r="H203" s="86"/>
      <c r="I203" s="86"/>
      <c r="J203" s="86"/>
      <c r="K203" s="86"/>
      <c r="L203" s="87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95"/>
      <c r="AN203" s="86"/>
    </row>
    <row r="204" spans="1:40" ht="45" customHeight="1" x14ac:dyDescent="0.25">
      <c r="A204" s="86"/>
      <c r="B204" s="86"/>
      <c r="C204" s="86"/>
      <c r="D204" s="13"/>
      <c r="E204" s="86"/>
      <c r="F204" s="86"/>
      <c r="G204" s="86"/>
      <c r="H204" s="86"/>
      <c r="I204" s="86"/>
      <c r="J204" s="86"/>
      <c r="K204" s="86"/>
      <c r="L204" s="87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95"/>
      <c r="AN204" s="86"/>
    </row>
    <row r="205" spans="1:40" ht="45" customHeight="1" x14ac:dyDescent="0.25">
      <c r="A205" s="86"/>
      <c r="B205" s="86"/>
      <c r="C205" s="86"/>
      <c r="D205" s="13"/>
      <c r="E205" s="86"/>
      <c r="F205" s="86"/>
      <c r="G205" s="86"/>
      <c r="H205" s="86"/>
      <c r="I205" s="86"/>
      <c r="J205" s="86"/>
      <c r="K205" s="86"/>
      <c r="L205" s="87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95"/>
      <c r="AN205" s="86"/>
    </row>
    <row r="206" spans="1:40" ht="45" customHeight="1" x14ac:dyDescent="0.25">
      <c r="A206" s="86"/>
      <c r="B206" s="86"/>
      <c r="C206" s="86"/>
      <c r="D206" s="13"/>
      <c r="E206" s="86"/>
      <c r="F206" s="86"/>
      <c r="G206" s="86"/>
      <c r="H206" s="86"/>
      <c r="I206" s="86"/>
      <c r="J206" s="86"/>
      <c r="K206" s="86"/>
      <c r="L206" s="87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95"/>
      <c r="AN206" s="86"/>
    </row>
    <row r="207" spans="1:40" ht="45" customHeight="1" x14ac:dyDescent="0.25">
      <c r="A207" s="86"/>
      <c r="B207" s="86"/>
      <c r="C207" s="86"/>
      <c r="D207" s="13"/>
      <c r="E207" s="86"/>
      <c r="F207" s="86"/>
      <c r="G207" s="86"/>
      <c r="H207" s="86"/>
      <c r="I207" s="86"/>
      <c r="J207" s="86"/>
      <c r="K207" s="86"/>
      <c r="L207" s="101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95"/>
      <c r="AN207" s="86"/>
    </row>
    <row r="208" spans="1:40" ht="45" customHeight="1" x14ac:dyDescent="0.25">
      <c r="A208" s="86"/>
      <c r="B208" s="86"/>
      <c r="C208" s="86"/>
      <c r="D208" s="13"/>
      <c r="E208" s="86"/>
      <c r="F208" s="86"/>
      <c r="G208" s="86"/>
      <c r="H208" s="86"/>
      <c r="I208" s="86"/>
      <c r="J208" s="86"/>
      <c r="K208" s="86"/>
      <c r="L208" s="101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95"/>
      <c r="AN208" s="86"/>
    </row>
    <row r="209" spans="1:40" ht="45" customHeight="1" x14ac:dyDescent="0.25">
      <c r="A209" s="86"/>
      <c r="B209" s="86"/>
      <c r="C209" s="86"/>
      <c r="D209" s="13"/>
      <c r="E209" s="86"/>
      <c r="F209" s="86"/>
      <c r="G209" s="86"/>
      <c r="H209" s="86"/>
      <c r="I209" s="86"/>
      <c r="J209" s="86"/>
      <c r="K209" s="86"/>
      <c r="L209" s="101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95"/>
      <c r="AN209" s="86"/>
    </row>
    <row r="210" spans="1:40" ht="45" customHeight="1" x14ac:dyDescent="0.25">
      <c r="A210" s="86"/>
      <c r="B210" s="86"/>
      <c r="C210" s="86"/>
      <c r="D210" s="13"/>
      <c r="E210" s="86"/>
      <c r="F210" s="86"/>
      <c r="G210" s="86"/>
      <c r="H210" s="86"/>
      <c r="I210" s="86"/>
      <c r="J210" s="86"/>
      <c r="K210" s="86"/>
      <c r="L210" s="101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95"/>
      <c r="AN210" s="86"/>
    </row>
    <row r="211" spans="1:40" ht="45" customHeight="1" x14ac:dyDescent="0.25">
      <c r="A211" s="86"/>
      <c r="B211" s="86"/>
      <c r="C211" s="86"/>
      <c r="D211" s="13"/>
      <c r="E211" s="86"/>
      <c r="F211" s="86"/>
      <c r="G211" s="86"/>
      <c r="H211" s="86"/>
      <c r="I211" s="86"/>
      <c r="J211" s="86"/>
      <c r="K211" s="86"/>
      <c r="L211" s="101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95"/>
      <c r="AN211" s="86"/>
    </row>
    <row r="212" spans="1:40" ht="45" customHeight="1" x14ac:dyDescent="0.25">
      <c r="A212" s="86"/>
      <c r="B212" s="86"/>
      <c r="C212" s="86"/>
      <c r="D212" s="13"/>
      <c r="E212" s="86"/>
      <c r="F212" s="86"/>
      <c r="G212" s="86"/>
      <c r="H212" s="86"/>
      <c r="I212" s="86"/>
      <c r="J212" s="86"/>
      <c r="K212" s="86"/>
      <c r="L212" s="101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95"/>
      <c r="AN212" s="86"/>
    </row>
    <row r="213" spans="1:40" ht="45" customHeight="1" x14ac:dyDescent="0.25">
      <c r="A213" s="86"/>
      <c r="B213" s="86"/>
      <c r="C213" s="86"/>
      <c r="D213" s="13"/>
      <c r="E213" s="86"/>
      <c r="F213" s="86"/>
      <c r="G213" s="86"/>
      <c r="H213" s="86"/>
      <c r="I213" s="86"/>
      <c r="J213" s="86"/>
      <c r="K213" s="86"/>
      <c r="L213" s="101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95"/>
      <c r="AN213" s="86"/>
    </row>
    <row r="214" spans="1:40" ht="45" customHeight="1" x14ac:dyDescent="0.25">
      <c r="A214" s="86"/>
      <c r="B214" s="86"/>
      <c r="C214" s="86"/>
      <c r="D214" s="13"/>
      <c r="E214" s="86"/>
      <c r="F214" s="86"/>
      <c r="G214" s="86"/>
      <c r="H214" s="86"/>
      <c r="I214" s="86"/>
      <c r="J214" s="86"/>
      <c r="K214" s="86"/>
      <c r="L214" s="101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95"/>
      <c r="AN214" s="86"/>
    </row>
    <row r="215" spans="1:40" ht="45" customHeight="1" x14ac:dyDescent="0.25">
      <c r="A215" s="86"/>
      <c r="B215" s="86"/>
      <c r="C215" s="86"/>
      <c r="D215" s="13"/>
      <c r="E215" s="86"/>
      <c r="F215" s="86"/>
      <c r="G215" s="86"/>
      <c r="H215" s="86"/>
      <c r="I215" s="86"/>
      <c r="J215" s="86"/>
      <c r="K215" s="86"/>
      <c r="L215" s="101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95"/>
      <c r="AN215" s="86"/>
    </row>
    <row r="216" spans="1:40" ht="45" customHeight="1" x14ac:dyDescent="0.25">
      <c r="A216" s="86"/>
      <c r="B216" s="86"/>
      <c r="C216" s="86"/>
      <c r="D216" s="13"/>
      <c r="E216" s="86"/>
      <c r="F216" s="86"/>
      <c r="G216" s="86"/>
      <c r="H216" s="86"/>
      <c r="I216" s="86"/>
      <c r="J216" s="86"/>
      <c r="K216" s="86"/>
      <c r="L216" s="101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95"/>
      <c r="AN216" s="86"/>
    </row>
    <row r="217" spans="1:40" ht="45" customHeight="1" x14ac:dyDescent="0.25">
      <c r="A217" s="86"/>
      <c r="B217" s="86"/>
      <c r="C217" s="86"/>
      <c r="D217" s="13"/>
      <c r="E217" s="86"/>
      <c r="F217" s="86"/>
      <c r="G217" s="86"/>
      <c r="H217" s="86"/>
      <c r="I217" s="86"/>
      <c r="J217" s="86"/>
      <c r="K217" s="86"/>
      <c r="L217" s="101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95"/>
      <c r="AN217" s="86"/>
    </row>
    <row r="218" spans="1:40" ht="45" customHeight="1" x14ac:dyDescent="0.25">
      <c r="A218" s="86"/>
      <c r="B218" s="86"/>
      <c r="C218" s="86"/>
      <c r="D218" s="13"/>
      <c r="E218" s="86"/>
      <c r="F218" s="86"/>
      <c r="G218" s="86"/>
      <c r="H218" s="86"/>
      <c r="I218" s="86"/>
      <c r="J218" s="86"/>
      <c r="K218" s="86"/>
      <c r="L218" s="101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95"/>
      <c r="AN218" s="86"/>
    </row>
    <row r="219" spans="1:40" ht="45" customHeight="1" x14ac:dyDescent="0.25">
      <c r="A219" s="86"/>
      <c r="B219" s="86"/>
      <c r="C219" s="86"/>
      <c r="D219" s="13"/>
      <c r="E219" s="86"/>
      <c r="F219" s="86"/>
      <c r="G219" s="86"/>
      <c r="H219" s="86"/>
      <c r="I219" s="86"/>
      <c r="J219" s="86"/>
      <c r="K219" s="86"/>
      <c r="L219" s="101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95"/>
      <c r="AN219" s="86"/>
    </row>
    <row r="220" spans="1:40" ht="45" customHeight="1" x14ac:dyDescent="0.25">
      <c r="A220" s="86"/>
      <c r="B220" s="86"/>
      <c r="C220" s="86"/>
      <c r="D220" s="13"/>
      <c r="E220" s="86"/>
      <c r="F220" s="86"/>
      <c r="G220" s="86"/>
      <c r="H220" s="86"/>
      <c r="I220" s="86"/>
      <c r="J220" s="86"/>
      <c r="K220" s="86"/>
      <c r="L220" s="101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86"/>
      <c r="AI220" s="86"/>
      <c r="AJ220" s="86"/>
      <c r="AK220" s="86"/>
      <c r="AL220" s="86"/>
      <c r="AM220" s="95"/>
      <c r="AN220" s="86"/>
    </row>
    <row r="221" spans="1:40" ht="45" customHeight="1" x14ac:dyDescent="0.25">
      <c r="A221" s="86"/>
      <c r="B221" s="86"/>
      <c r="C221" s="86"/>
      <c r="D221" s="13"/>
      <c r="E221" s="86"/>
      <c r="F221" s="86"/>
      <c r="G221" s="86"/>
      <c r="H221" s="86"/>
      <c r="I221" s="86"/>
      <c r="J221" s="86"/>
      <c r="K221" s="86"/>
      <c r="L221" s="101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86"/>
      <c r="AI221" s="86"/>
      <c r="AJ221" s="86"/>
      <c r="AK221" s="86"/>
      <c r="AL221" s="86"/>
      <c r="AM221" s="95"/>
      <c r="AN221" s="86"/>
    </row>
    <row r="222" spans="1:40" ht="45" customHeight="1" x14ac:dyDescent="0.25">
      <c r="A222" s="86"/>
      <c r="B222" s="86"/>
      <c r="C222" s="86"/>
      <c r="D222" s="13"/>
      <c r="E222" s="86"/>
      <c r="F222" s="86"/>
      <c r="G222" s="86"/>
      <c r="H222" s="86"/>
      <c r="I222" s="86"/>
      <c r="J222" s="86"/>
      <c r="K222" s="86"/>
      <c r="L222" s="101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86"/>
      <c r="AI222" s="86"/>
      <c r="AJ222" s="86"/>
      <c r="AK222" s="86"/>
      <c r="AL222" s="86"/>
      <c r="AM222" s="95"/>
      <c r="AN222" s="86"/>
    </row>
    <row r="223" spans="1:40" ht="45" customHeight="1" x14ac:dyDescent="0.25">
      <c r="A223" s="86"/>
      <c r="B223" s="86"/>
      <c r="C223" s="86"/>
      <c r="D223" s="13"/>
      <c r="E223" s="86"/>
      <c r="F223" s="86"/>
      <c r="G223" s="86"/>
      <c r="H223" s="86"/>
      <c r="I223" s="86"/>
      <c r="J223" s="86"/>
      <c r="K223" s="86"/>
      <c r="L223" s="101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86"/>
      <c r="AI223" s="86"/>
      <c r="AJ223" s="86"/>
      <c r="AK223" s="86"/>
      <c r="AL223" s="86"/>
      <c r="AM223" s="95"/>
      <c r="AN223" s="86"/>
    </row>
    <row r="224" spans="1:40" ht="45" customHeight="1" x14ac:dyDescent="0.25">
      <c r="A224" s="86"/>
      <c r="B224" s="86"/>
      <c r="C224" s="86"/>
      <c r="D224" s="13"/>
      <c r="E224" s="86"/>
      <c r="F224" s="86"/>
      <c r="G224" s="86"/>
      <c r="H224" s="86"/>
      <c r="I224" s="86"/>
      <c r="J224" s="86"/>
      <c r="K224" s="86"/>
      <c r="L224" s="101"/>
      <c r="M224" s="86"/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86"/>
      <c r="AI224" s="86"/>
      <c r="AJ224" s="86"/>
      <c r="AK224" s="86"/>
      <c r="AL224" s="86"/>
      <c r="AM224" s="95"/>
      <c r="AN224" s="86"/>
    </row>
    <row r="225" spans="1:40" ht="45" customHeight="1" x14ac:dyDescent="0.25">
      <c r="A225" s="86"/>
      <c r="B225" s="86"/>
      <c r="C225" s="86"/>
      <c r="D225" s="13"/>
      <c r="E225" s="86"/>
      <c r="F225" s="86"/>
      <c r="G225" s="86"/>
      <c r="H225" s="86"/>
      <c r="I225" s="86"/>
      <c r="J225" s="86"/>
      <c r="K225" s="86"/>
      <c r="L225" s="101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86"/>
      <c r="AI225" s="86"/>
      <c r="AJ225" s="86"/>
      <c r="AK225" s="86"/>
      <c r="AL225" s="86"/>
      <c r="AM225" s="95"/>
      <c r="AN225" s="86"/>
    </row>
    <row r="226" spans="1:40" ht="45" customHeight="1" x14ac:dyDescent="0.25">
      <c r="A226" s="86"/>
      <c r="B226" s="86"/>
      <c r="C226" s="86"/>
      <c r="D226" s="13"/>
      <c r="E226" s="86"/>
      <c r="F226" s="86"/>
      <c r="G226" s="86"/>
      <c r="H226" s="86"/>
      <c r="I226" s="86"/>
      <c r="J226" s="86"/>
      <c r="K226" s="86"/>
      <c r="L226" s="101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86"/>
      <c r="AI226" s="86"/>
      <c r="AJ226" s="86"/>
      <c r="AK226" s="86"/>
      <c r="AL226" s="86"/>
      <c r="AM226" s="95"/>
      <c r="AN226" s="86"/>
    </row>
    <row r="227" spans="1:40" ht="45" customHeight="1" x14ac:dyDescent="0.25">
      <c r="A227" s="86"/>
      <c r="B227" s="86"/>
      <c r="C227" s="86"/>
      <c r="D227" s="13"/>
      <c r="E227" s="86"/>
      <c r="F227" s="86"/>
      <c r="G227" s="86"/>
      <c r="H227" s="86"/>
      <c r="I227" s="86"/>
      <c r="J227" s="86"/>
      <c r="K227" s="86"/>
      <c r="L227" s="101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86"/>
      <c r="AI227" s="86"/>
      <c r="AJ227" s="86"/>
      <c r="AK227" s="86"/>
      <c r="AL227" s="86"/>
      <c r="AM227" s="95"/>
      <c r="AN227" s="86"/>
    </row>
    <row r="228" spans="1:40" ht="45" customHeight="1" x14ac:dyDescent="0.25">
      <c r="A228" s="86"/>
      <c r="B228" s="86"/>
      <c r="C228" s="86"/>
      <c r="D228" s="13"/>
      <c r="E228" s="86"/>
      <c r="F228" s="86"/>
      <c r="G228" s="86"/>
      <c r="H228" s="86"/>
      <c r="I228" s="86"/>
      <c r="J228" s="86"/>
      <c r="K228" s="86"/>
      <c r="L228" s="101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86"/>
      <c r="AI228" s="86"/>
      <c r="AJ228" s="86"/>
      <c r="AK228" s="86"/>
      <c r="AL228" s="86"/>
      <c r="AM228" s="95"/>
      <c r="AN228" s="86"/>
    </row>
    <row r="229" spans="1:40" ht="45" customHeight="1" x14ac:dyDescent="0.25">
      <c r="A229" s="86"/>
      <c r="B229" s="86"/>
      <c r="C229" s="86"/>
      <c r="D229" s="13"/>
      <c r="E229" s="86"/>
      <c r="F229" s="86"/>
      <c r="G229" s="86"/>
      <c r="H229" s="86"/>
      <c r="I229" s="86"/>
      <c r="J229" s="86"/>
      <c r="K229" s="86"/>
      <c r="L229" s="101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86"/>
      <c r="AI229" s="86"/>
      <c r="AJ229" s="86"/>
      <c r="AK229" s="86"/>
      <c r="AL229" s="86"/>
      <c r="AM229" s="95"/>
      <c r="AN229" s="86"/>
    </row>
    <row r="230" spans="1:40" ht="45" customHeight="1" x14ac:dyDescent="0.25">
      <c r="A230" s="86"/>
      <c r="B230" s="86"/>
      <c r="C230" s="86"/>
      <c r="D230" s="13"/>
      <c r="E230" s="86"/>
      <c r="F230" s="86"/>
      <c r="G230" s="86"/>
      <c r="H230" s="86"/>
      <c r="I230" s="86"/>
      <c r="J230" s="86"/>
      <c r="K230" s="86"/>
      <c r="L230" s="101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86"/>
      <c r="AI230" s="86"/>
      <c r="AJ230" s="86"/>
      <c r="AK230" s="86"/>
      <c r="AL230" s="86"/>
      <c r="AM230" s="95"/>
      <c r="AN230" s="86"/>
    </row>
    <row r="231" spans="1:40" ht="45" customHeight="1" x14ac:dyDescent="0.25">
      <c r="A231" s="86"/>
      <c r="B231" s="86"/>
      <c r="C231" s="86"/>
      <c r="D231" s="13"/>
      <c r="E231" s="86"/>
      <c r="F231" s="86"/>
      <c r="G231" s="86"/>
      <c r="H231" s="86"/>
      <c r="I231" s="86"/>
      <c r="J231" s="86"/>
      <c r="K231" s="86"/>
      <c r="L231" s="101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86"/>
      <c r="AI231" s="86"/>
      <c r="AJ231" s="86"/>
      <c r="AK231" s="86"/>
      <c r="AL231" s="86"/>
      <c r="AM231" s="95"/>
      <c r="AN231" s="86"/>
    </row>
    <row r="232" spans="1:40" ht="45" customHeight="1" x14ac:dyDescent="0.25">
      <c r="A232" s="86"/>
      <c r="B232" s="86"/>
      <c r="C232" s="86"/>
      <c r="D232" s="13"/>
      <c r="E232" s="86"/>
      <c r="F232" s="86"/>
      <c r="G232" s="86"/>
      <c r="H232" s="86"/>
      <c r="I232" s="86"/>
      <c r="J232" s="86"/>
      <c r="K232" s="86"/>
      <c r="L232" s="101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  <c r="AH232" s="86"/>
      <c r="AI232" s="86"/>
      <c r="AJ232" s="86"/>
      <c r="AK232" s="86"/>
      <c r="AL232" s="86"/>
      <c r="AM232" s="95"/>
      <c r="AN232" s="86"/>
    </row>
    <row r="233" spans="1:40" ht="45" customHeight="1" x14ac:dyDescent="0.25">
      <c r="A233" s="86"/>
      <c r="B233" s="86"/>
      <c r="C233" s="86"/>
      <c r="D233" s="13"/>
      <c r="E233" s="86"/>
      <c r="F233" s="86"/>
      <c r="G233" s="86"/>
      <c r="H233" s="86"/>
      <c r="I233" s="86"/>
      <c r="J233" s="86"/>
      <c r="K233" s="86"/>
      <c r="L233" s="101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  <c r="AH233" s="86"/>
      <c r="AI233" s="86"/>
      <c r="AJ233" s="86"/>
      <c r="AK233" s="86"/>
      <c r="AL233" s="86"/>
      <c r="AM233" s="95"/>
      <c r="AN233" s="86"/>
    </row>
    <row r="234" spans="1:40" ht="45" customHeight="1" x14ac:dyDescent="0.25">
      <c r="A234" s="86"/>
      <c r="B234" s="86"/>
      <c r="C234" s="86"/>
      <c r="D234" s="13"/>
      <c r="E234" s="86"/>
      <c r="F234" s="86"/>
      <c r="G234" s="86"/>
      <c r="H234" s="86"/>
      <c r="I234" s="86"/>
      <c r="J234" s="86"/>
      <c r="K234" s="86"/>
      <c r="L234" s="101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95"/>
      <c r="AN234" s="86"/>
    </row>
    <row r="235" spans="1:40" ht="45" customHeight="1" x14ac:dyDescent="0.25">
      <c r="A235" s="86"/>
      <c r="B235" s="86"/>
      <c r="C235" s="86"/>
      <c r="D235" s="13"/>
      <c r="E235" s="86"/>
      <c r="F235" s="86"/>
      <c r="G235" s="86"/>
      <c r="H235" s="86"/>
      <c r="I235" s="86"/>
      <c r="J235" s="86"/>
      <c r="K235" s="86"/>
      <c r="L235" s="101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95"/>
      <c r="AN235" s="86"/>
    </row>
    <row r="236" spans="1:40" ht="45" customHeight="1" x14ac:dyDescent="0.25">
      <c r="A236" s="86"/>
      <c r="B236" s="86"/>
      <c r="C236" s="86"/>
      <c r="D236" s="13"/>
      <c r="E236" s="86"/>
      <c r="F236" s="86"/>
      <c r="G236" s="86"/>
      <c r="H236" s="86"/>
      <c r="I236" s="86"/>
      <c r="J236" s="86"/>
      <c r="K236" s="86"/>
      <c r="L236" s="101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95"/>
      <c r="AN236" s="86"/>
    </row>
    <row r="237" spans="1:40" ht="45" customHeight="1" x14ac:dyDescent="0.25">
      <c r="A237" s="86"/>
      <c r="B237" s="86"/>
      <c r="C237" s="86"/>
      <c r="D237" s="13"/>
      <c r="E237" s="86"/>
      <c r="F237" s="86"/>
      <c r="G237" s="86"/>
      <c r="H237" s="86"/>
      <c r="I237" s="86"/>
      <c r="J237" s="86"/>
      <c r="K237" s="86"/>
      <c r="L237" s="101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95"/>
      <c r="AN237" s="86"/>
    </row>
    <row r="238" spans="1:40" ht="45" customHeight="1" x14ac:dyDescent="0.25">
      <c r="A238" s="86"/>
      <c r="B238" s="86"/>
      <c r="C238" s="86"/>
      <c r="D238" s="13"/>
      <c r="E238" s="86"/>
      <c r="F238" s="86"/>
      <c r="G238" s="86"/>
      <c r="H238" s="86"/>
      <c r="I238" s="86"/>
      <c r="J238" s="86"/>
      <c r="K238" s="86"/>
      <c r="L238" s="101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95"/>
      <c r="AN238" s="86"/>
    </row>
    <row r="239" spans="1:40" ht="45" customHeight="1" x14ac:dyDescent="0.25">
      <c r="A239" s="86"/>
      <c r="B239" s="86"/>
      <c r="C239" s="86"/>
      <c r="D239" s="13"/>
      <c r="E239" s="86"/>
      <c r="F239" s="86"/>
      <c r="G239" s="86"/>
      <c r="H239" s="86"/>
      <c r="I239" s="86"/>
      <c r="J239" s="86"/>
      <c r="K239" s="86"/>
      <c r="L239" s="101"/>
      <c r="M239" s="86"/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86"/>
      <c r="AK239" s="86"/>
      <c r="AL239" s="86"/>
      <c r="AM239" s="95"/>
      <c r="AN239" s="86"/>
    </row>
    <row r="240" spans="1:40" ht="45" customHeight="1" x14ac:dyDescent="0.25">
      <c r="A240" s="86"/>
      <c r="B240" s="86"/>
      <c r="C240" s="86"/>
      <c r="D240" s="13"/>
      <c r="E240" s="86"/>
      <c r="F240" s="86"/>
      <c r="G240" s="86"/>
      <c r="H240" s="86"/>
      <c r="I240" s="86"/>
      <c r="J240" s="86"/>
      <c r="K240" s="86"/>
      <c r="L240" s="101"/>
      <c r="M240" s="86"/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  <c r="AH240" s="86"/>
      <c r="AI240" s="86"/>
      <c r="AJ240" s="86"/>
      <c r="AK240" s="86"/>
      <c r="AL240" s="86"/>
      <c r="AM240" s="95"/>
      <c r="AN240" s="86"/>
    </row>
    <row r="241" spans="1:40" ht="45" customHeight="1" x14ac:dyDescent="0.25">
      <c r="A241" s="86"/>
      <c r="B241" s="86"/>
      <c r="C241" s="86"/>
      <c r="D241" s="13"/>
      <c r="E241" s="86"/>
      <c r="F241" s="86"/>
      <c r="G241" s="86"/>
      <c r="H241" s="86"/>
      <c r="I241" s="86"/>
      <c r="J241" s="86"/>
      <c r="K241" s="86"/>
      <c r="L241" s="101"/>
      <c r="M241" s="86"/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  <c r="AH241" s="86"/>
      <c r="AI241" s="86"/>
      <c r="AJ241" s="86"/>
      <c r="AK241" s="86"/>
      <c r="AL241" s="86"/>
      <c r="AM241" s="95"/>
      <c r="AN241" s="86"/>
    </row>
    <row r="242" spans="1:40" ht="45" customHeight="1" x14ac:dyDescent="0.25">
      <c r="A242" s="86"/>
      <c r="B242" s="86"/>
      <c r="C242" s="86"/>
      <c r="D242" s="13"/>
      <c r="E242" s="86"/>
      <c r="F242" s="86"/>
      <c r="G242" s="86"/>
      <c r="H242" s="86"/>
      <c r="I242" s="86"/>
      <c r="J242" s="86"/>
      <c r="K242" s="86"/>
      <c r="L242" s="101"/>
      <c r="M242" s="86"/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  <c r="AH242" s="86"/>
      <c r="AI242" s="86"/>
      <c r="AJ242" s="86"/>
      <c r="AK242" s="86"/>
      <c r="AL242" s="86"/>
      <c r="AM242" s="95"/>
      <c r="AN242" s="86"/>
    </row>
    <row r="243" spans="1:40" ht="45" customHeight="1" x14ac:dyDescent="0.25">
      <c r="A243" s="86"/>
      <c r="B243" s="86"/>
      <c r="C243" s="86"/>
      <c r="D243" s="13"/>
      <c r="E243" s="86"/>
      <c r="F243" s="86"/>
      <c r="G243" s="86"/>
      <c r="H243" s="86"/>
      <c r="I243" s="86"/>
      <c r="J243" s="86"/>
      <c r="K243" s="86"/>
      <c r="L243" s="101"/>
      <c r="M243" s="86"/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  <c r="AH243" s="86"/>
      <c r="AI243" s="86"/>
      <c r="AJ243" s="86"/>
      <c r="AK243" s="86"/>
      <c r="AL243" s="86"/>
      <c r="AM243" s="95"/>
      <c r="AN243" s="86"/>
    </row>
    <row r="244" spans="1:40" ht="45" customHeight="1" x14ac:dyDescent="0.25">
      <c r="A244" s="86"/>
      <c r="B244" s="86"/>
      <c r="C244" s="86"/>
      <c r="D244" s="13"/>
      <c r="E244" s="86"/>
      <c r="F244" s="86"/>
      <c r="G244" s="86"/>
      <c r="H244" s="86"/>
      <c r="I244" s="86"/>
      <c r="J244" s="86"/>
      <c r="K244" s="86"/>
      <c r="L244" s="101"/>
      <c r="M244" s="86"/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86"/>
      <c r="AI244" s="86"/>
      <c r="AJ244" s="86"/>
      <c r="AK244" s="86"/>
      <c r="AL244" s="86"/>
      <c r="AM244" s="95"/>
      <c r="AN244" s="86"/>
    </row>
    <row r="245" spans="1:40" ht="45" customHeight="1" x14ac:dyDescent="0.25">
      <c r="A245" s="86"/>
      <c r="B245" s="86"/>
      <c r="C245" s="86"/>
      <c r="D245" s="13"/>
      <c r="E245" s="86"/>
      <c r="F245" s="86"/>
      <c r="G245" s="86"/>
      <c r="H245" s="86"/>
      <c r="I245" s="86"/>
      <c r="J245" s="86"/>
      <c r="K245" s="86"/>
      <c r="L245" s="101"/>
      <c r="M245" s="86"/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86"/>
      <c r="AI245" s="86"/>
      <c r="AJ245" s="86"/>
      <c r="AK245" s="86"/>
      <c r="AL245" s="86"/>
      <c r="AM245" s="95"/>
      <c r="AN245" s="86"/>
    </row>
    <row r="246" spans="1:40" ht="45" customHeight="1" x14ac:dyDescent="0.25">
      <c r="A246" s="86"/>
      <c r="B246" s="86"/>
      <c r="C246" s="86"/>
      <c r="D246" s="13"/>
      <c r="E246" s="86"/>
      <c r="F246" s="86"/>
      <c r="G246" s="86"/>
      <c r="H246" s="86"/>
      <c r="I246" s="86"/>
      <c r="J246" s="86"/>
      <c r="K246" s="86"/>
      <c r="L246" s="101"/>
      <c r="M246" s="86"/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86"/>
      <c r="AI246" s="86"/>
      <c r="AJ246" s="86"/>
      <c r="AK246" s="86"/>
      <c r="AL246" s="86"/>
      <c r="AM246" s="95"/>
      <c r="AN246" s="86"/>
    </row>
    <row r="247" spans="1:40" ht="45" customHeight="1" x14ac:dyDescent="0.25">
      <c r="A247" s="86"/>
      <c r="B247" s="86"/>
      <c r="C247" s="86"/>
      <c r="D247" s="13"/>
      <c r="E247" s="86"/>
      <c r="F247" s="86"/>
      <c r="G247" s="86"/>
      <c r="H247" s="86"/>
      <c r="I247" s="86"/>
      <c r="J247" s="86"/>
      <c r="K247" s="86"/>
      <c r="L247" s="101"/>
      <c r="M247" s="86"/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86"/>
      <c r="AI247" s="86"/>
      <c r="AJ247" s="86"/>
      <c r="AK247" s="86"/>
      <c r="AL247" s="86"/>
      <c r="AM247" s="95"/>
      <c r="AN247" s="86"/>
    </row>
    <row r="248" spans="1:40" ht="45" customHeight="1" x14ac:dyDescent="0.25">
      <c r="A248" s="86"/>
      <c r="B248" s="86"/>
      <c r="C248" s="86"/>
      <c r="D248" s="13"/>
      <c r="E248" s="86"/>
      <c r="F248" s="86"/>
      <c r="G248" s="86"/>
      <c r="H248" s="86"/>
      <c r="I248" s="86"/>
      <c r="J248" s="86"/>
      <c r="K248" s="86"/>
      <c r="L248" s="101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86"/>
      <c r="AI248" s="86"/>
      <c r="AJ248" s="86"/>
      <c r="AK248" s="86"/>
      <c r="AL248" s="86"/>
      <c r="AM248" s="95"/>
      <c r="AN248" s="86"/>
    </row>
    <row r="249" spans="1:40" ht="45" customHeight="1" x14ac:dyDescent="0.25">
      <c r="A249" s="86"/>
      <c r="B249" s="86"/>
      <c r="C249" s="86"/>
      <c r="D249" s="13"/>
      <c r="E249" s="86"/>
      <c r="F249" s="86"/>
      <c r="G249" s="86"/>
      <c r="H249" s="86"/>
      <c r="I249" s="86"/>
      <c r="J249" s="86"/>
      <c r="K249" s="86"/>
      <c r="L249" s="101"/>
      <c r="M249" s="86"/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86"/>
      <c r="AI249" s="86"/>
      <c r="AJ249" s="86"/>
      <c r="AK249" s="86"/>
      <c r="AL249" s="86"/>
      <c r="AM249" s="95"/>
      <c r="AN249" s="86"/>
    </row>
    <row r="250" spans="1:40" ht="45" customHeight="1" x14ac:dyDescent="0.25">
      <c r="A250" s="86"/>
      <c r="B250" s="86"/>
      <c r="C250" s="86"/>
      <c r="D250" s="13"/>
      <c r="E250" s="86"/>
      <c r="F250" s="86"/>
      <c r="G250" s="86"/>
      <c r="H250" s="86"/>
      <c r="I250" s="86"/>
      <c r="J250" s="86"/>
      <c r="K250" s="86"/>
      <c r="L250" s="101"/>
      <c r="M250" s="86"/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86"/>
      <c r="AI250" s="86"/>
      <c r="AJ250" s="86"/>
      <c r="AK250" s="86"/>
      <c r="AL250" s="86"/>
      <c r="AM250" s="95"/>
      <c r="AN250" s="86"/>
    </row>
    <row r="251" spans="1:40" ht="45" customHeight="1" x14ac:dyDescent="0.25">
      <c r="A251" s="86"/>
      <c r="B251" s="86"/>
      <c r="C251" s="86"/>
      <c r="D251" s="13"/>
      <c r="E251" s="86"/>
      <c r="F251" s="86"/>
      <c r="G251" s="86"/>
      <c r="H251" s="86"/>
      <c r="I251" s="86"/>
      <c r="J251" s="86"/>
      <c r="K251" s="86"/>
      <c r="L251" s="101"/>
      <c r="M251" s="86"/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86"/>
      <c r="AI251" s="86"/>
      <c r="AJ251" s="86"/>
      <c r="AK251" s="86"/>
      <c r="AL251" s="86"/>
      <c r="AM251" s="95"/>
      <c r="AN251" s="86"/>
    </row>
    <row r="252" spans="1:40" ht="45" customHeight="1" x14ac:dyDescent="0.25">
      <c r="A252" s="86"/>
      <c r="B252" s="86"/>
      <c r="C252" s="86"/>
      <c r="D252" s="13"/>
      <c r="E252" s="86"/>
      <c r="F252" s="86"/>
      <c r="G252" s="86"/>
      <c r="H252" s="86"/>
      <c r="I252" s="86"/>
      <c r="J252" s="86"/>
      <c r="K252" s="86"/>
      <c r="L252" s="101"/>
      <c r="M252" s="86"/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86"/>
      <c r="AI252" s="86"/>
      <c r="AJ252" s="86"/>
      <c r="AK252" s="86"/>
      <c r="AL252" s="86"/>
      <c r="AM252" s="95"/>
      <c r="AN252" s="86"/>
    </row>
    <row r="253" spans="1:40" ht="45" customHeight="1" x14ac:dyDescent="0.25">
      <c r="A253" s="86"/>
      <c r="B253" s="86"/>
      <c r="C253" s="86"/>
      <c r="D253" s="13"/>
      <c r="E253" s="86"/>
      <c r="F253" s="86"/>
      <c r="G253" s="86"/>
      <c r="H253" s="86"/>
      <c r="I253" s="86"/>
      <c r="J253" s="86"/>
      <c r="K253" s="86"/>
      <c r="L253" s="101"/>
      <c r="M253" s="86"/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86"/>
      <c r="AI253" s="86"/>
      <c r="AJ253" s="86"/>
      <c r="AK253" s="86"/>
      <c r="AL253" s="86"/>
      <c r="AM253" s="95"/>
      <c r="AN253" s="86"/>
    </row>
    <row r="254" spans="1:40" ht="45" customHeight="1" x14ac:dyDescent="0.25">
      <c r="A254" s="86"/>
      <c r="B254" s="86"/>
      <c r="C254" s="86"/>
      <c r="D254" s="13"/>
      <c r="E254" s="86"/>
      <c r="F254" s="86"/>
      <c r="G254" s="86"/>
      <c r="H254" s="86"/>
      <c r="I254" s="86"/>
      <c r="J254" s="86"/>
      <c r="K254" s="86"/>
      <c r="L254" s="101"/>
      <c r="M254" s="86"/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86"/>
      <c r="AI254" s="86"/>
      <c r="AJ254" s="86"/>
      <c r="AK254" s="86"/>
      <c r="AL254" s="86"/>
      <c r="AM254" s="95"/>
      <c r="AN254" s="86"/>
    </row>
    <row r="255" spans="1:40" ht="45" customHeight="1" x14ac:dyDescent="0.25">
      <c r="A255" s="86"/>
      <c r="B255" s="86"/>
      <c r="C255" s="86"/>
      <c r="D255" s="13"/>
      <c r="E255" s="86"/>
      <c r="F255" s="86"/>
      <c r="G255" s="86"/>
      <c r="H255" s="86"/>
      <c r="I255" s="86"/>
      <c r="J255" s="86"/>
      <c r="K255" s="86"/>
      <c r="L255" s="101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86"/>
      <c r="AI255" s="86"/>
      <c r="AJ255" s="86"/>
      <c r="AK255" s="86"/>
      <c r="AL255" s="86"/>
      <c r="AM255" s="95"/>
      <c r="AN255" s="86"/>
    </row>
    <row r="256" spans="1:40" ht="45" customHeight="1" x14ac:dyDescent="0.25">
      <c r="A256" s="86"/>
      <c r="B256" s="86"/>
      <c r="C256" s="86"/>
      <c r="D256" s="13"/>
      <c r="E256" s="86"/>
      <c r="F256" s="86"/>
      <c r="G256" s="86"/>
      <c r="H256" s="86"/>
      <c r="I256" s="86"/>
      <c r="J256" s="86"/>
      <c r="K256" s="86"/>
      <c r="L256" s="101"/>
      <c r="M256" s="86"/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86"/>
      <c r="AI256" s="86"/>
      <c r="AJ256" s="86"/>
      <c r="AK256" s="86"/>
      <c r="AL256" s="86"/>
      <c r="AM256" s="95"/>
      <c r="AN256" s="86"/>
    </row>
    <row r="257" spans="1:40" ht="45" customHeight="1" x14ac:dyDescent="0.25">
      <c r="A257" s="86"/>
      <c r="B257" s="86"/>
      <c r="C257" s="86"/>
      <c r="D257" s="13"/>
      <c r="E257" s="86"/>
      <c r="F257" s="86"/>
      <c r="G257" s="86"/>
      <c r="H257" s="86"/>
      <c r="I257" s="86"/>
      <c r="J257" s="86"/>
      <c r="K257" s="86"/>
      <c r="L257" s="101"/>
      <c r="M257" s="86"/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I257" s="86"/>
      <c r="AJ257" s="86"/>
      <c r="AK257" s="86"/>
      <c r="AL257" s="86"/>
      <c r="AM257" s="95"/>
      <c r="AN257" s="86"/>
    </row>
    <row r="258" spans="1:40" ht="45" customHeight="1" x14ac:dyDescent="0.25">
      <c r="A258" s="86"/>
      <c r="B258" s="86"/>
      <c r="C258" s="86"/>
      <c r="D258" s="13"/>
      <c r="E258" s="86"/>
      <c r="F258" s="86"/>
      <c r="G258" s="86"/>
      <c r="H258" s="86"/>
      <c r="I258" s="86"/>
      <c r="J258" s="86"/>
      <c r="K258" s="86"/>
      <c r="L258" s="101"/>
      <c r="M258" s="86"/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  <c r="AH258" s="86"/>
      <c r="AI258" s="86"/>
      <c r="AJ258" s="86"/>
      <c r="AK258" s="86"/>
      <c r="AL258" s="86"/>
      <c r="AM258" s="95"/>
      <c r="AN258" s="86"/>
    </row>
    <row r="259" spans="1:40" ht="45" customHeight="1" x14ac:dyDescent="0.25">
      <c r="A259" s="86"/>
      <c r="B259" s="86"/>
      <c r="C259" s="86"/>
      <c r="D259" s="13"/>
      <c r="E259" s="86"/>
      <c r="F259" s="86"/>
      <c r="G259" s="86"/>
      <c r="H259" s="86"/>
      <c r="I259" s="86"/>
      <c r="J259" s="86"/>
      <c r="K259" s="86"/>
      <c r="L259" s="101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86"/>
      <c r="AI259" s="86"/>
      <c r="AJ259" s="86"/>
      <c r="AK259" s="86"/>
      <c r="AL259" s="86"/>
      <c r="AM259" s="95"/>
      <c r="AN259" s="86"/>
    </row>
    <row r="260" spans="1:40" ht="45" customHeight="1" x14ac:dyDescent="0.25">
      <c r="A260" s="86"/>
      <c r="B260" s="86"/>
      <c r="C260" s="86"/>
      <c r="D260" s="13"/>
      <c r="E260" s="86"/>
      <c r="F260" s="86"/>
      <c r="G260" s="86"/>
      <c r="H260" s="86"/>
      <c r="I260" s="86"/>
      <c r="J260" s="86"/>
      <c r="K260" s="86"/>
      <c r="L260" s="101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86"/>
      <c r="AI260" s="86"/>
      <c r="AJ260" s="86"/>
      <c r="AK260" s="86"/>
      <c r="AL260" s="86"/>
      <c r="AM260" s="95"/>
      <c r="AN260" s="86"/>
    </row>
    <row r="261" spans="1:40" ht="45" customHeight="1" x14ac:dyDescent="0.25">
      <c r="A261" s="86"/>
      <c r="B261" s="86"/>
      <c r="C261" s="86"/>
      <c r="D261" s="13"/>
      <c r="E261" s="86"/>
      <c r="F261" s="86"/>
      <c r="G261" s="86"/>
      <c r="H261" s="86"/>
      <c r="I261" s="86"/>
      <c r="J261" s="86"/>
      <c r="K261" s="86"/>
      <c r="L261" s="101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86"/>
      <c r="AI261" s="86"/>
      <c r="AJ261" s="86"/>
      <c r="AK261" s="86"/>
      <c r="AL261" s="86"/>
      <c r="AM261" s="95"/>
      <c r="AN261" s="86"/>
    </row>
    <row r="262" spans="1:40" ht="45" customHeight="1" x14ac:dyDescent="0.25">
      <c r="A262" s="86"/>
      <c r="B262" s="86"/>
      <c r="C262" s="86"/>
      <c r="D262" s="13"/>
      <c r="E262" s="86"/>
      <c r="F262" s="86"/>
      <c r="G262" s="86"/>
      <c r="H262" s="86"/>
      <c r="I262" s="86"/>
      <c r="J262" s="86"/>
      <c r="K262" s="86"/>
      <c r="L262" s="101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86"/>
      <c r="AI262" s="86"/>
      <c r="AJ262" s="86"/>
      <c r="AK262" s="86"/>
      <c r="AL262" s="86"/>
      <c r="AM262" s="95"/>
      <c r="AN262" s="86"/>
    </row>
    <row r="263" spans="1:40" ht="45" customHeight="1" x14ac:dyDescent="0.25">
      <c r="A263" s="86"/>
      <c r="B263" s="86"/>
      <c r="C263" s="86"/>
      <c r="D263" s="13"/>
      <c r="E263" s="86"/>
      <c r="F263" s="86"/>
      <c r="G263" s="86"/>
      <c r="H263" s="86"/>
      <c r="I263" s="86"/>
      <c r="J263" s="86"/>
      <c r="K263" s="86"/>
      <c r="L263" s="101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86"/>
      <c r="AI263" s="86"/>
      <c r="AJ263" s="86"/>
      <c r="AK263" s="86"/>
      <c r="AL263" s="86"/>
      <c r="AM263" s="95"/>
      <c r="AN263" s="86"/>
    </row>
    <row r="264" spans="1:40" ht="45" customHeight="1" x14ac:dyDescent="0.25">
      <c r="A264" s="86"/>
      <c r="B264" s="86"/>
      <c r="C264" s="86"/>
      <c r="D264" s="13"/>
      <c r="E264" s="86"/>
      <c r="F264" s="86"/>
      <c r="G264" s="86"/>
      <c r="H264" s="86"/>
      <c r="I264" s="86"/>
      <c r="J264" s="86"/>
      <c r="K264" s="86"/>
      <c r="L264" s="101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86"/>
      <c r="AI264" s="86"/>
      <c r="AJ264" s="86"/>
      <c r="AK264" s="86"/>
      <c r="AL264" s="86"/>
      <c r="AM264" s="95"/>
      <c r="AN264" s="86"/>
    </row>
    <row r="265" spans="1:40" ht="45" customHeight="1" x14ac:dyDescent="0.25">
      <c r="A265" s="86"/>
      <c r="B265" s="86"/>
      <c r="C265" s="86"/>
      <c r="D265" s="13"/>
      <c r="E265" s="86"/>
      <c r="F265" s="86"/>
      <c r="G265" s="86"/>
      <c r="H265" s="86"/>
      <c r="I265" s="86"/>
      <c r="J265" s="86"/>
      <c r="K265" s="86"/>
      <c r="L265" s="101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86"/>
      <c r="AI265" s="86"/>
      <c r="AJ265" s="86"/>
      <c r="AK265" s="86"/>
      <c r="AL265" s="86"/>
      <c r="AM265" s="95"/>
      <c r="AN265" s="86"/>
    </row>
    <row r="266" spans="1:40" ht="45" customHeight="1" x14ac:dyDescent="0.25">
      <c r="A266" s="86"/>
      <c r="B266" s="86"/>
      <c r="C266" s="86"/>
      <c r="D266" s="13"/>
      <c r="E266" s="86"/>
      <c r="F266" s="86"/>
      <c r="G266" s="86"/>
      <c r="H266" s="86"/>
      <c r="I266" s="86"/>
      <c r="J266" s="86"/>
      <c r="K266" s="86"/>
      <c r="L266" s="101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86"/>
      <c r="AI266" s="86"/>
      <c r="AJ266" s="86"/>
      <c r="AK266" s="86"/>
      <c r="AL266" s="86"/>
      <c r="AM266" s="95"/>
      <c r="AN266" s="86"/>
    </row>
    <row r="267" spans="1:40" ht="45" customHeight="1" x14ac:dyDescent="0.25">
      <c r="A267" s="86"/>
      <c r="B267" s="86"/>
      <c r="C267" s="86"/>
      <c r="D267" s="13"/>
      <c r="E267" s="86"/>
      <c r="F267" s="86"/>
      <c r="G267" s="86"/>
      <c r="H267" s="86"/>
      <c r="I267" s="86"/>
      <c r="J267" s="86"/>
      <c r="K267" s="86"/>
      <c r="L267" s="101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86"/>
      <c r="AI267" s="86"/>
      <c r="AJ267" s="86"/>
      <c r="AK267" s="86"/>
      <c r="AL267" s="86"/>
      <c r="AM267" s="95"/>
      <c r="AN267" s="86"/>
    </row>
    <row r="268" spans="1:40" ht="45" customHeight="1" x14ac:dyDescent="0.25">
      <c r="A268" s="86"/>
      <c r="B268" s="86"/>
      <c r="C268" s="86"/>
      <c r="D268" s="13"/>
      <c r="E268" s="86"/>
      <c r="F268" s="86"/>
      <c r="G268" s="86"/>
      <c r="H268" s="86"/>
      <c r="I268" s="86"/>
      <c r="J268" s="86"/>
      <c r="K268" s="86"/>
      <c r="L268" s="101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86"/>
      <c r="AI268" s="86"/>
      <c r="AJ268" s="86"/>
      <c r="AK268" s="86"/>
      <c r="AL268" s="86"/>
      <c r="AM268" s="95"/>
      <c r="AN268" s="86"/>
    </row>
    <row r="269" spans="1:40" ht="45" customHeight="1" x14ac:dyDescent="0.25">
      <c r="A269" s="86"/>
      <c r="B269" s="86"/>
      <c r="C269" s="86"/>
      <c r="D269" s="13"/>
      <c r="E269" s="86"/>
      <c r="F269" s="86"/>
      <c r="G269" s="86"/>
      <c r="H269" s="86"/>
      <c r="I269" s="86"/>
      <c r="J269" s="86"/>
      <c r="K269" s="86"/>
      <c r="L269" s="101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86"/>
      <c r="AI269" s="86"/>
      <c r="AJ269" s="86"/>
      <c r="AK269" s="86"/>
      <c r="AL269" s="86"/>
      <c r="AM269" s="95"/>
      <c r="AN269" s="86"/>
    </row>
    <row r="270" spans="1:40" ht="45" customHeight="1" x14ac:dyDescent="0.25">
      <c r="A270" s="86"/>
      <c r="B270" s="86"/>
      <c r="C270" s="86"/>
      <c r="D270" s="13"/>
      <c r="E270" s="86"/>
      <c r="F270" s="86"/>
      <c r="G270" s="86"/>
      <c r="H270" s="86"/>
      <c r="I270" s="86"/>
      <c r="J270" s="86"/>
      <c r="K270" s="86"/>
      <c r="L270" s="101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86"/>
      <c r="AI270" s="86"/>
      <c r="AJ270" s="86"/>
      <c r="AK270" s="86"/>
      <c r="AL270" s="86"/>
      <c r="AM270" s="95"/>
      <c r="AN270" s="86"/>
    </row>
    <row r="271" spans="1:40" ht="45" customHeight="1" x14ac:dyDescent="0.25">
      <c r="A271" s="86"/>
      <c r="B271" s="86"/>
      <c r="C271" s="86"/>
      <c r="D271" s="13"/>
      <c r="E271" s="86"/>
      <c r="F271" s="86"/>
      <c r="G271" s="86"/>
      <c r="H271" s="86"/>
      <c r="I271" s="86"/>
      <c r="J271" s="86"/>
      <c r="K271" s="86"/>
      <c r="L271" s="101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86"/>
      <c r="AI271" s="86"/>
      <c r="AJ271" s="86"/>
      <c r="AK271" s="86"/>
      <c r="AL271" s="86"/>
      <c r="AM271" s="95"/>
      <c r="AN271" s="86"/>
    </row>
    <row r="272" spans="1:40" ht="45" customHeight="1" x14ac:dyDescent="0.25">
      <c r="A272" s="86"/>
      <c r="B272" s="86"/>
      <c r="C272" s="86"/>
      <c r="D272" s="13"/>
      <c r="E272" s="86"/>
      <c r="F272" s="86"/>
      <c r="G272" s="86"/>
      <c r="H272" s="86"/>
      <c r="I272" s="86"/>
      <c r="J272" s="86"/>
      <c r="K272" s="86"/>
      <c r="L272" s="101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86"/>
      <c r="AI272" s="86"/>
      <c r="AJ272" s="86"/>
      <c r="AK272" s="86"/>
      <c r="AL272" s="86"/>
      <c r="AM272" s="95"/>
      <c r="AN272" s="86"/>
    </row>
    <row r="273" spans="1:40" ht="45" customHeight="1" x14ac:dyDescent="0.25">
      <c r="A273" s="86"/>
      <c r="B273" s="86"/>
      <c r="C273" s="86"/>
      <c r="D273" s="13"/>
      <c r="E273" s="86"/>
      <c r="F273" s="86"/>
      <c r="G273" s="86"/>
      <c r="H273" s="86"/>
      <c r="I273" s="86"/>
      <c r="J273" s="86"/>
      <c r="K273" s="86"/>
      <c r="L273" s="101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86"/>
      <c r="AI273" s="86"/>
      <c r="AJ273" s="86"/>
      <c r="AK273" s="86"/>
      <c r="AL273" s="86"/>
      <c r="AM273" s="95"/>
      <c r="AN273" s="86"/>
    </row>
    <row r="274" spans="1:40" ht="45" customHeight="1" x14ac:dyDescent="0.25">
      <c r="A274" s="86"/>
      <c r="B274" s="86"/>
      <c r="C274" s="86"/>
      <c r="D274" s="13"/>
      <c r="E274" s="86"/>
      <c r="F274" s="86"/>
      <c r="G274" s="86"/>
      <c r="H274" s="86"/>
      <c r="I274" s="86"/>
      <c r="J274" s="86"/>
      <c r="K274" s="86"/>
      <c r="L274" s="101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86"/>
      <c r="AI274" s="86"/>
      <c r="AJ274" s="86"/>
      <c r="AK274" s="86"/>
      <c r="AL274" s="86"/>
      <c r="AM274" s="95"/>
      <c r="AN274" s="86"/>
    </row>
    <row r="275" spans="1:40" ht="45" customHeight="1" x14ac:dyDescent="0.25">
      <c r="A275" s="86"/>
      <c r="B275" s="86"/>
      <c r="C275" s="86"/>
      <c r="D275" s="13"/>
      <c r="E275" s="86"/>
      <c r="F275" s="86"/>
      <c r="G275" s="86"/>
      <c r="H275" s="86"/>
      <c r="I275" s="86"/>
      <c r="J275" s="86"/>
      <c r="K275" s="86"/>
      <c r="L275" s="101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  <c r="AH275" s="86"/>
      <c r="AI275" s="86"/>
      <c r="AJ275" s="86"/>
      <c r="AK275" s="86"/>
      <c r="AL275" s="86"/>
      <c r="AM275" s="95"/>
      <c r="AN275" s="86"/>
    </row>
    <row r="276" spans="1:40" ht="45" customHeight="1" x14ac:dyDescent="0.25">
      <c r="A276" s="86"/>
      <c r="B276" s="86"/>
      <c r="C276" s="86"/>
      <c r="D276" s="13"/>
      <c r="E276" s="86"/>
      <c r="F276" s="86"/>
      <c r="G276" s="86"/>
      <c r="H276" s="86"/>
      <c r="I276" s="86"/>
      <c r="J276" s="86"/>
      <c r="K276" s="86"/>
      <c r="L276" s="101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86"/>
      <c r="AI276" s="86"/>
      <c r="AJ276" s="86"/>
      <c r="AK276" s="86"/>
      <c r="AL276" s="86"/>
      <c r="AM276" s="95"/>
      <c r="AN276" s="86"/>
    </row>
    <row r="277" spans="1:40" ht="45" customHeight="1" x14ac:dyDescent="0.25">
      <c r="A277" s="86"/>
      <c r="B277" s="86"/>
      <c r="C277" s="86"/>
      <c r="D277" s="13"/>
      <c r="E277" s="86"/>
      <c r="F277" s="86"/>
      <c r="G277" s="86"/>
      <c r="H277" s="86"/>
      <c r="I277" s="86"/>
      <c r="J277" s="86"/>
      <c r="K277" s="86"/>
      <c r="L277" s="101"/>
      <c r="M277" s="86"/>
      <c r="N277" s="86"/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86"/>
      <c r="AI277" s="86"/>
      <c r="AJ277" s="86"/>
      <c r="AK277" s="86"/>
      <c r="AL277" s="86"/>
      <c r="AM277" s="95"/>
      <c r="AN277" s="86"/>
    </row>
    <row r="278" spans="1:40" ht="45" customHeight="1" x14ac:dyDescent="0.25">
      <c r="A278" s="86"/>
      <c r="B278" s="86"/>
      <c r="C278" s="86"/>
      <c r="D278" s="13"/>
      <c r="E278" s="86"/>
      <c r="F278" s="86"/>
      <c r="G278" s="86"/>
      <c r="H278" s="86"/>
      <c r="I278" s="86"/>
      <c r="J278" s="86"/>
      <c r="K278" s="86"/>
      <c r="L278" s="101"/>
      <c r="M278" s="86"/>
      <c r="N278" s="86"/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86"/>
      <c r="AI278" s="86"/>
      <c r="AJ278" s="86"/>
      <c r="AK278" s="86"/>
      <c r="AL278" s="86"/>
      <c r="AM278" s="95"/>
      <c r="AN278" s="86"/>
    </row>
    <row r="279" spans="1:40" ht="45" customHeight="1" x14ac:dyDescent="0.25">
      <c r="A279" s="86"/>
      <c r="B279" s="86"/>
      <c r="C279" s="86"/>
      <c r="D279" s="13"/>
      <c r="E279" s="86"/>
      <c r="F279" s="86"/>
      <c r="G279" s="86"/>
      <c r="H279" s="86"/>
      <c r="I279" s="86"/>
      <c r="J279" s="86"/>
      <c r="K279" s="86"/>
      <c r="L279" s="101"/>
      <c r="M279" s="86"/>
      <c r="N279" s="86"/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86"/>
      <c r="AI279" s="86"/>
      <c r="AJ279" s="86"/>
      <c r="AK279" s="86"/>
      <c r="AL279" s="86"/>
      <c r="AM279" s="95"/>
      <c r="AN279" s="86"/>
    </row>
    <row r="280" spans="1:40" ht="45" customHeight="1" x14ac:dyDescent="0.25">
      <c r="A280" s="86"/>
      <c r="B280" s="86"/>
      <c r="C280" s="86"/>
      <c r="D280" s="13"/>
      <c r="E280" s="86"/>
      <c r="F280" s="86"/>
      <c r="G280" s="86"/>
      <c r="H280" s="86"/>
      <c r="I280" s="86"/>
      <c r="J280" s="86"/>
      <c r="K280" s="86"/>
      <c r="L280" s="101"/>
      <c r="M280" s="86"/>
      <c r="N280" s="86"/>
      <c r="O280" s="86"/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86"/>
      <c r="AI280" s="86"/>
      <c r="AJ280" s="86"/>
      <c r="AK280" s="86"/>
      <c r="AL280" s="86"/>
      <c r="AM280" s="95"/>
      <c r="AN280" s="86"/>
    </row>
    <row r="281" spans="1:40" ht="45" customHeight="1" x14ac:dyDescent="0.25">
      <c r="A281" s="86"/>
      <c r="B281" s="86"/>
      <c r="C281" s="86"/>
      <c r="D281" s="13"/>
      <c r="E281" s="86"/>
      <c r="F281" s="86"/>
      <c r="G281" s="86"/>
      <c r="H281" s="86"/>
      <c r="I281" s="86"/>
      <c r="J281" s="86"/>
      <c r="K281" s="86"/>
      <c r="L281" s="101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86"/>
      <c r="AI281" s="86"/>
      <c r="AJ281" s="86"/>
      <c r="AK281" s="86"/>
      <c r="AL281" s="86"/>
      <c r="AM281" s="95"/>
      <c r="AN281" s="86"/>
    </row>
    <row r="282" spans="1:40" ht="45" customHeight="1" x14ac:dyDescent="0.25">
      <c r="A282" s="86"/>
      <c r="B282" s="86"/>
      <c r="C282" s="86"/>
      <c r="D282" s="13"/>
      <c r="E282" s="86"/>
      <c r="F282" s="86"/>
      <c r="G282" s="86"/>
      <c r="H282" s="86"/>
      <c r="I282" s="86"/>
      <c r="J282" s="86"/>
      <c r="K282" s="86"/>
      <c r="L282" s="101"/>
      <c r="M282" s="86"/>
      <c r="N282" s="86"/>
      <c r="O282" s="86"/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86"/>
      <c r="AI282" s="86"/>
      <c r="AJ282" s="86"/>
      <c r="AK282" s="86"/>
      <c r="AL282" s="86"/>
      <c r="AM282" s="95"/>
      <c r="AN282" s="86"/>
    </row>
    <row r="283" spans="1:40" ht="45" customHeight="1" x14ac:dyDescent="0.25">
      <c r="A283" s="86"/>
      <c r="B283" s="86"/>
      <c r="C283" s="86"/>
      <c r="D283" s="13"/>
      <c r="E283" s="86"/>
      <c r="F283" s="86"/>
      <c r="G283" s="86"/>
      <c r="H283" s="86"/>
      <c r="I283" s="86"/>
      <c r="J283" s="86"/>
      <c r="K283" s="86"/>
      <c r="L283" s="101"/>
      <c r="M283" s="86"/>
      <c r="N283" s="86"/>
      <c r="O283" s="86"/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86"/>
      <c r="AI283" s="86"/>
      <c r="AJ283" s="86"/>
      <c r="AK283" s="86"/>
      <c r="AL283" s="86"/>
      <c r="AM283" s="95"/>
      <c r="AN283" s="86"/>
    </row>
    <row r="284" spans="1:40" ht="45" customHeight="1" x14ac:dyDescent="0.25">
      <c r="A284" s="86"/>
      <c r="B284" s="86"/>
      <c r="C284" s="86"/>
      <c r="D284" s="13"/>
      <c r="E284" s="86"/>
      <c r="F284" s="86"/>
      <c r="G284" s="86"/>
      <c r="H284" s="86"/>
      <c r="I284" s="86"/>
      <c r="J284" s="86"/>
      <c r="K284" s="86"/>
      <c r="L284" s="101"/>
      <c r="M284" s="86"/>
      <c r="N284" s="86"/>
      <c r="O284" s="86"/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86"/>
      <c r="AI284" s="86"/>
      <c r="AJ284" s="86"/>
      <c r="AK284" s="86"/>
      <c r="AL284" s="86"/>
      <c r="AM284" s="95"/>
      <c r="AN284" s="86"/>
    </row>
    <row r="285" spans="1:40" ht="45" customHeight="1" x14ac:dyDescent="0.25">
      <c r="A285" s="86"/>
      <c r="B285" s="86"/>
      <c r="C285" s="86"/>
      <c r="D285" s="13"/>
      <c r="E285" s="86"/>
      <c r="F285" s="86"/>
      <c r="G285" s="86"/>
      <c r="H285" s="86"/>
      <c r="I285" s="86"/>
      <c r="J285" s="86"/>
      <c r="K285" s="86"/>
      <c r="L285" s="101"/>
      <c r="M285" s="86"/>
      <c r="N285" s="86"/>
      <c r="O285" s="86"/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86"/>
      <c r="AI285" s="86"/>
      <c r="AJ285" s="86"/>
      <c r="AK285" s="86"/>
      <c r="AL285" s="86"/>
      <c r="AM285" s="95"/>
      <c r="AN285" s="86"/>
    </row>
    <row r="286" spans="1:40" ht="45" customHeight="1" x14ac:dyDescent="0.25">
      <c r="A286" s="86"/>
      <c r="B286" s="86"/>
      <c r="C286" s="86"/>
      <c r="D286" s="13"/>
      <c r="E286" s="86"/>
      <c r="F286" s="86"/>
      <c r="G286" s="86"/>
      <c r="H286" s="86"/>
      <c r="I286" s="86"/>
      <c r="J286" s="86"/>
      <c r="K286" s="86"/>
      <c r="L286" s="101"/>
      <c r="M286" s="86"/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86"/>
      <c r="AI286" s="86"/>
      <c r="AJ286" s="86"/>
      <c r="AK286" s="86"/>
      <c r="AL286" s="86"/>
      <c r="AM286" s="95"/>
      <c r="AN286" s="86"/>
    </row>
    <row r="287" spans="1:40" ht="45" customHeight="1" x14ac:dyDescent="0.25">
      <c r="A287" s="86"/>
      <c r="B287" s="86"/>
      <c r="C287" s="86"/>
      <c r="D287" s="13"/>
      <c r="E287" s="86"/>
      <c r="F287" s="86"/>
      <c r="G287" s="86"/>
      <c r="H287" s="86"/>
      <c r="I287" s="86"/>
      <c r="J287" s="86"/>
      <c r="K287" s="86"/>
      <c r="L287" s="101"/>
      <c r="M287" s="86"/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86"/>
      <c r="AI287" s="86"/>
      <c r="AJ287" s="86"/>
      <c r="AK287" s="86"/>
      <c r="AL287" s="86"/>
      <c r="AM287" s="95"/>
      <c r="AN287" s="86"/>
    </row>
    <row r="288" spans="1:40" ht="45" customHeight="1" x14ac:dyDescent="0.25">
      <c r="A288" s="86"/>
      <c r="B288" s="86"/>
      <c r="C288" s="86"/>
      <c r="D288" s="13"/>
      <c r="E288" s="86"/>
      <c r="F288" s="86"/>
      <c r="G288" s="86"/>
      <c r="H288" s="86"/>
      <c r="I288" s="86"/>
      <c r="J288" s="86"/>
      <c r="K288" s="86"/>
      <c r="L288" s="101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86"/>
      <c r="AI288" s="86"/>
      <c r="AJ288" s="86"/>
      <c r="AK288" s="86"/>
      <c r="AL288" s="86"/>
      <c r="AM288" s="95"/>
      <c r="AN288" s="86"/>
    </row>
    <row r="289" spans="1:40" ht="45" customHeight="1" x14ac:dyDescent="0.25">
      <c r="A289" s="86"/>
      <c r="B289" s="86"/>
      <c r="C289" s="86"/>
      <c r="D289" s="13"/>
      <c r="E289" s="86"/>
      <c r="F289" s="86"/>
      <c r="G289" s="86"/>
      <c r="H289" s="86"/>
      <c r="I289" s="86"/>
      <c r="J289" s="86"/>
      <c r="K289" s="86"/>
      <c r="L289" s="101"/>
      <c r="M289" s="86"/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86"/>
      <c r="AI289" s="86"/>
      <c r="AJ289" s="86"/>
      <c r="AK289" s="86"/>
      <c r="AL289" s="86"/>
      <c r="AM289" s="95"/>
      <c r="AN289" s="86"/>
    </row>
    <row r="290" spans="1:40" ht="45" customHeight="1" x14ac:dyDescent="0.25">
      <c r="A290" s="86"/>
      <c r="B290" s="86"/>
      <c r="C290" s="86"/>
      <c r="D290" s="13"/>
      <c r="E290" s="86"/>
      <c r="F290" s="86"/>
      <c r="G290" s="86"/>
      <c r="H290" s="86"/>
      <c r="I290" s="86"/>
      <c r="J290" s="86"/>
      <c r="K290" s="86"/>
      <c r="L290" s="101"/>
      <c r="M290" s="86"/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86"/>
      <c r="AI290" s="86"/>
      <c r="AJ290" s="86"/>
      <c r="AK290" s="86"/>
      <c r="AL290" s="86"/>
      <c r="AM290" s="95"/>
      <c r="AN290" s="86"/>
    </row>
    <row r="291" spans="1:40" ht="45" customHeight="1" x14ac:dyDescent="0.25">
      <c r="A291" s="86"/>
      <c r="B291" s="86"/>
      <c r="C291" s="86"/>
      <c r="D291" s="13"/>
      <c r="E291" s="86"/>
      <c r="F291" s="86"/>
      <c r="G291" s="86"/>
      <c r="H291" s="86"/>
      <c r="I291" s="86"/>
      <c r="J291" s="86"/>
      <c r="K291" s="86"/>
      <c r="L291" s="101"/>
      <c r="M291" s="86"/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86"/>
      <c r="AI291" s="86"/>
      <c r="AJ291" s="86"/>
      <c r="AK291" s="86"/>
      <c r="AL291" s="86"/>
      <c r="AM291" s="95"/>
      <c r="AN291" s="86"/>
    </row>
    <row r="292" spans="1:40" ht="45" customHeight="1" x14ac:dyDescent="0.25">
      <c r="A292" s="86"/>
      <c r="B292" s="86"/>
      <c r="C292" s="86"/>
      <c r="D292" s="13"/>
      <c r="E292" s="86"/>
      <c r="F292" s="86"/>
      <c r="G292" s="86"/>
      <c r="H292" s="86"/>
      <c r="I292" s="86"/>
      <c r="J292" s="86"/>
      <c r="K292" s="86"/>
      <c r="L292" s="101"/>
      <c r="M292" s="86"/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  <c r="AH292" s="86"/>
      <c r="AI292" s="86"/>
      <c r="AJ292" s="86"/>
      <c r="AK292" s="86"/>
      <c r="AL292" s="86"/>
      <c r="AM292" s="95"/>
      <c r="AN292" s="86"/>
    </row>
    <row r="293" spans="1:40" ht="45" customHeight="1" x14ac:dyDescent="0.25">
      <c r="A293" s="86"/>
      <c r="B293" s="86"/>
      <c r="C293" s="86"/>
      <c r="D293" s="13"/>
      <c r="E293" s="86"/>
      <c r="F293" s="86"/>
      <c r="G293" s="86"/>
      <c r="H293" s="86"/>
      <c r="I293" s="86"/>
      <c r="J293" s="86"/>
      <c r="K293" s="86"/>
      <c r="L293" s="101"/>
      <c r="M293" s="86"/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86"/>
      <c r="AI293" s="86"/>
      <c r="AJ293" s="86"/>
      <c r="AK293" s="86"/>
      <c r="AL293" s="86"/>
      <c r="AM293" s="95"/>
      <c r="AN293" s="86"/>
    </row>
    <row r="294" spans="1:40" ht="45" customHeight="1" x14ac:dyDescent="0.25">
      <c r="A294" s="86"/>
      <c r="B294" s="86"/>
      <c r="C294" s="86"/>
      <c r="D294" s="13"/>
      <c r="E294" s="86"/>
      <c r="F294" s="86"/>
      <c r="G294" s="86"/>
      <c r="H294" s="86"/>
      <c r="I294" s="86"/>
      <c r="J294" s="86"/>
      <c r="K294" s="86"/>
      <c r="L294" s="101"/>
      <c r="M294" s="86"/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86"/>
      <c r="AI294" s="86"/>
      <c r="AJ294" s="86"/>
      <c r="AK294" s="86"/>
      <c r="AL294" s="86"/>
      <c r="AM294" s="95"/>
      <c r="AN294" s="86"/>
    </row>
    <row r="295" spans="1:40" ht="45" customHeight="1" x14ac:dyDescent="0.25">
      <c r="A295" s="86"/>
      <c r="B295" s="86"/>
      <c r="C295" s="86"/>
      <c r="D295" s="13"/>
      <c r="E295" s="86"/>
      <c r="F295" s="86"/>
      <c r="G295" s="86"/>
      <c r="H295" s="86"/>
      <c r="I295" s="86"/>
      <c r="J295" s="86"/>
      <c r="K295" s="86"/>
      <c r="L295" s="101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86"/>
      <c r="AI295" s="86"/>
      <c r="AJ295" s="86"/>
      <c r="AK295" s="86"/>
      <c r="AL295" s="86"/>
      <c r="AM295" s="95"/>
      <c r="AN295" s="86"/>
    </row>
    <row r="296" spans="1:40" ht="45" customHeight="1" x14ac:dyDescent="0.25">
      <c r="A296" s="86"/>
      <c r="B296" s="86"/>
      <c r="C296" s="86"/>
      <c r="D296" s="13"/>
      <c r="E296" s="86"/>
      <c r="F296" s="86"/>
      <c r="G296" s="86"/>
      <c r="H296" s="86"/>
      <c r="I296" s="86"/>
      <c r="J296" s="86"/>
      <c r="K296" s="86"/>
      <c r="L296" s="101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86"/>
      <c r="AI296" s="86"/>
      <c r="AJ296" s="86"/>
      <c r="AK296" s="86"/>
      <c r="AL296" s="86"/>
      <c r="AM296" s="95"/>
      <c r="AN296" s="86"/>
    </row>
    <row r="297" spans="1:40" ht="45" customHeight="1" x14ac:dyDescent="0.25">
      <c r="A297" s="86"/>
      <c r="B297" s="86"/>
      <c r="C297" s="86"/>
      <c r="D297" s="13"/>
      <c r="E297" s="86"/>
      <c r="F297" s="86"/>
      <c r="G297" s="86"/>
      <c r="H297" s="86"/>
      <c r="I297" s="86"/>
      <c r="J297" s="86"/>
      <c r="K297" s="86"/>
      <c r="L297" s="101"/>
      <c r="M297" s="86"/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86"/>
      <c r="AI297" s="86"/>
      <c r="AJ297" s="86"/>
      <c r="AK297" s="86"/>
      <c r="AL297" s="86"/>
      <c r="AM297" s="95"/>
      <c r="AN297" s="86"/>
    </row>
    <row r="298" spans="1:40" ht="45" customHeight="1" x14ac:dyDescent="0.25">
      <c r="A298" s="86"/>
      <c r="B298" s="86"/>
      <c r="C298" s="86"/>
      <c r="D298" s="13"/>
      <c r="E298" s="86"/>
      <c r="F298" s="86"/>
      <c r="G298" s="86"/>
      <c r="H298" s="86"/>
      <c r="I298" s="86"/>
      <c r="J298" s="86"/>
      <c r="K298" s="86"/>
      <c r="L298" s="101"/>
      <c r="M298" s="86"/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86"/>
      <c r="AI298" s="86"/>
      <c r="AJ298" s="86"/>
      <c r="AK298" s="86"/>
      <c r="AL298" s="86"/>
      <c r="AM298" s="95"/>
      <c r="AN298" s="86"/>
    </row>
    <row r="299" spans="1:40" ht="45" customHeight="1" x14ac:dyDescent="0.25">
      <c r="A299" s="86"/>
      <c r="B299" s="86"/>
      <c r="C299" s="86"/>
      <c r="D299" s="13"/>
      <c r="E299" s="86"/>
      <c r="F299" s="86"/>
      <c r="G299" s="86"/>
      <c r="H299" s="86"/>
      <c r="I299" s="86"/>
      <c r="J299" s="86"/>
      <c r="K299" s="86"/>
      <c r="L299" s="101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  <c r="AH299" s="86"/>
      <c r="AI299" s="86"/>
      <c r="AJ299" s="86"/>
      <c r="AK299" s="86"/>
      <c r="AL299" s="86"/>
      <c r="AM299" s="95"/>
      <c r="AN299" s="86"/>
    </row>
    <row r="300" spans="1:40" ht="45" customHeight="1" x14ac:dyDescent="0.25">
      <c r="A300" s="86"/>
      <c r="B300" s="86"/>
      <c r="C300" s="86"/>
      <c r="D300" s="13"/>
      <c r="E300" s="86"/>
      <c r="F300" s="86"/>
      <c r="G300" s="86"/>
      <c r="H300" s="86"/>
      <c r="I300" s="86"/>
      <c r="J300" s="86"/>
      <c r="K300" s="86"/>
      <c r="L300" s="101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  <c r="AH300" s="86"/>
      <c r="AI300" s="86"/>
      <c r="AJ300" s="86"/>
      <c r="AK300" s="86"/>
      <c r="AL300" s="86"/>
      <c r="AM300" s="95"/>
      <c r="AN300" s="86"/>
    </row>
    <row r="301" spans="1:40" ht="45" customHeight="1" x14ac:dyDescent="0.25">
      <c r="A301" s="86"/>
      <c r="B301" s="86"/>
      <c r="C301" s="86"/>
      <c r="D301" s="13"/>
      <c r="E301" s="86"/>
      <c r="F301" s="86"/>
      <c r="G301" s="86"/>
      <c r="H301" s="86"/>
      <c r="I301" s="86"/>
      <c r="J301" s="86"/>
      <c r="K301" s="86"/>
      <c r="L301" s="101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  <c r="AH301" s="86"/>
      <c r="AI301" s="86"/>
      <c r="AJ301" s="86"/>
      <c r="AK301" s="86"/>
      <c r="AL301" s="86"/>
      <c r="AM301" s="95"/>
      <c r="AN301" s="86"/>
    </row>
    <row r="302" spans="1:40" ht="45" customHeight="1" x14ac:dyDescent="0.25">
      <c r="A302" s="86"/>
      <c r="B302" s="86"/>
      <c r="C302" s="86"/>
      <c r="D302" s="13"/>
      <c r="E302" s="86"/>
      <c r="F302" s="86"/>
      <c r="G302" s="86"/>
      <c r="H302" s="86"/>
      <c r="I302" s="86"/>
      <c r="J302" s="86"/>
      <c r="K302" s="86"/>
      <c r="L302" s="101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  <c r="AH302" s="86"/>
      <c r="AI302" s="86"/>
      <c r="AJ302" s="86"/>
      <c r="AK302" s="86"/>
      <c r="AL302" s="86"/>
      <c r="AM302" s="95"/>
      <c r="AN302" s="86"/>
    </row>
    <row r="303" spans="1:40" ht="45" customHeight="1" x14ac:dyDescent="0.25">
      <c r="A303" s="86"/>
      <c r="B303" s="86"/>
      <c r="C303" s="86"/>
      <c r="D303" s="13"/>
      <c r="E303" s="86"/>
      <c r="F303" s="86"/>
      <c r="G303" s="86"/>
      <c r="H303" s="86"/>
      <c r="I303" s="86"/>
      <c r="J303" s="86"/>
      <c r="K303" s="86"/>
      <c r="L303" s="101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  <c r="AH303" s="86"/>
      <c r="AI303" s="86"/>
      <c r="AJ303" s="86"/>
      <c r="AK303" s="86"/>
      <c r="AL303" s="86"/>
      <c r="AM303" s="95"/>
      <c r="AN303" s="86"/>
    </row>
    <row r="304" spans="1:40" ht="45" customHeight="1" x14ac:dyDescent="0.25">
      <c r="A304" s="86"/>
      <c r="B304" s="86"/>
      <c r="C304" s="86"/>
      <c r="D304" s="13"/>
      <c r="E304" s="86"/>
      <c r="F304" s="86"/>
      <c r="G304" s="86"/>
      <c r="H304" s="86"/>
      <c r="I304" s="86"/>
      <c r="J304" s="86"/>
      <c r="K304" s="86"/>
      <c r="L304" s="101"/>
      <c r="M304" s="86"/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  <c r="AH304" s="86"/>
      <c r="AI304" s="86"/>
      <c r="AJ304" s="86"/>
      <c r="AK304" s="86"/>
      <c r="AL304" s="86"/>
      <c r="AM304" s="95"/>
      <c r="AN304" s="86"/>
    </row>
    <row r="305" spans="1:40" ht="45" customHeight="1" x14ac:dyDescent="0.25">
      <c r="A305" s="86"/>
      <c r="B305" s="86"/>
      <c r="C305" s="86"/>
      <c r="D305" s="13"/>
      <c r="E305" s="86"/>
      <c r="F305" s="86"/>
      <c r="G305" s="86"/>
      <c r="H305" s="86"/>
      <c r="I305" s="86"/>
      <c r="J305" s="86"/>
      <c r="K305" s="86"/>
      <c r="L305" s="101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6"/>
      <c r="AL305" s="86"/>
      <c r="AM305" s="95"/>
      <c r="AN305" s="86"/>
    </row>
    <row r="306" spans="1:40" ht="45" customHeight="1" x14ac:dyDescent="0.25">
      <c r="A306" s="86"/>
      <c r="B306" s="86"/>
      <c r="C306" s="86"/>
      <c r="D306" s="13"/>
      <c r="E306" s="86"/>
      <c r="F306" s="86"/>
      <c r="G306" s="86"/>
      <c r="H306" s="86"/>
      <c r="I306" s="86"/>
      <c r="J306" s="86"/>
      <c r="K306" s="86"/>
      <c r="L306" s="101"/>
      <c r="M306" s="86"/>
      <c r="N306" s="86"/>
      <c r="O306" s="86"/>
      <c r="P306" s="86"/>
      <c r="Q306" s="86"/>
      <c r="R306" s="86"/>
      <c r="S306" s="86"/>
      <c r="T306" s="86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  <c r="AH306" s="86"/>
      <c r="AI306" s="86"/>
      <c r="AJ306" s="86"/>
      <c r="AK306" s="86"/>
      <c r="AL306" s="86"/>
      <c r="AM306" s="95"/>
      <c r="AN306" s="86"/>
    </row>
    <row r="307" spans="1:40" ht="45" customHeight="1" x14ac:dyDescent="0.25">
      <c r="A307" s="86"/>
      <c r="B307" s="86"/>
      <c r="C307" s="86"/>
      <c r="D307" s="13"/>
      <c r="E307" s="86"/>
      <c r="F307" s="86"/>
      <c r="G307" s="86"/>
      <c r="H307" s="86"/>
      <c r="I307" s="86"/>
      <c r="J307" s="86"/>
      <c r="K307" s="86"/>
      <c r="L307" s="101"/>
      <c r="M307" s="86"/>
      <c r="N307" s="86"/>
      <c r="O307" s="86"/>
      <c r="P307" s="86"/>
      <c r="Q307" s="86"/>
      <c r="R307" s="86"/>
      <c r="S307" s="86"/>
      <c r="T307" s="86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  <c r="AH307" s="86"/>
      <c r="AI307" s="86"/>
      <c r="AJ307" s="86"/>
      <c r="AK307" s="86"/>
      <c r="AL307" s="86"/>
      <c r="AM307" s="95"/>
      <c r="AN307" s="86"/>
    </row>
    <row r="308" spans="1:40" ht="45" customHeight="1" x14ac:dyDescent="0.25">
      <c r="A308" s="86"/>
      <c r="B308" s="86"/>
      <c r="C308" s="86"/>
      <c r="D308" s="86"/>
      <c r="E308" s="86"/>
      <c r="F308" s="86"/>
      <c r="G308" s="86"/>
      <c r="H308" s="86"/>
      <c r="I308" s="86"/>
      <c r="J308" s="86"/>
      <c r="K308" s="86"/>
      <c r="L308" s="101"/>
      <c r="M308" s="86"/>
      <c r="N308" s="86"/>
      <c r="O308" s="86"/>
      <c r="P308" s="86"/>
      <c r="Q308" s="86"/>
      <c r="R308" s="86"/>
      <c r="S308" s="86"/>
      <c r="T308" s="86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  <c r="AH308" s="86"/>
      <c r="AI308" s="86"/>
      <c r="AJ308" s="86"/>
      <c r="AK308" s="86"/>
      <c r="AL308" s="86"/>
      <c r="AM308" s="95"/>
      <c r="AN308" s="86"/>
    </row>
    <row r="309" spans="1:40" ht="45" customHeight="1" x14ac:dyDescent="0.25">
      <c r="A309" s="86"/>
      <c r="B309" s="86"/>
      <c r="C309" s="86"/>
      <c r="D309" s="86"/>
      <c r="E309" s="86"/>
      <c r="F309" s="86"/>
      <c r="G309" s="86"/>
      <c r="H309" s="86"/>
      <c r="I309" s="86"/>
      <c r="J309" s="86"/>
      <c r="K309" s="86"/>
      <c r="L309" s="101"/>
      <c r="M309" s="86"/>
      <c r="N309" s="86"/>
      <c r="O309" s="86"/>
      <c r="P309" s="86"/>
      <c r="Q309" s="86"/>
      <c r="R309" s="86"/>
      <c r="S309" s="86"/>
      <c r="T309" s="86"/>
      <c r="U309" s="8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  <c r="AH309" s="86"/>
      <c r="AI309" s="86"/>
      <c r="AJ309" s="86"/>
      <c r="AK309" s="86"/>
      <c r="AL309" s="86"/>
      <c r="AM309" s="95"/>
      <c r="AN309" s="86"/>
    </row>
    <row r="310" spans="1:40" ht="45" customHeight="1" x14ac:dyDescent="0.25">
      <c r="A310" s="86"/>
      <c r="B310" s="86"/>
      <c r="C310" s="86"/>
      <c r="D310" s="86"/>
      <c r="E310" s="86"/>
      <c r="F310" s="86"/>
      <c r="G310" s="86"/>
      <c r="H310" s="86"/>
      <c r="I310" s="86"/>
      <c r="J310" s="86"/>
      <c r="K310" s="86"/>
      <c r="L310" s="101"/>
      <c r="M310" s="86"/>
      <c r="N310" s="86"/>
      <c r="O310" s="86"/>
      <c r="P310" s="86"/>
      <c r="Q310" s="86"/>
      <c r="R310" s="86"/>
      <c r="S310" s="86"/>
      <c r="T310" s="86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  <c r="AH310" s="86"/>
      <c r="AI310" s="86"/>
      <c r="AJ310" s="86"/>
      <c r="AK310" s="86"/>
      <c r="AL310" s="86"/>
      <c r="AM310" s="95"/>
      <c r="AN310" s="86"/>
    </row>
    <row r="311" spans="1:40" ht="45" customHeight="1" x14ac:dyDescent="0.25">
      <c r="A311" s="86"/>
      <c r="B311" s="86"/>
      <c r="C311" s="86"/>
      <c r="D311" s="86"/>
      <c r="E311" s="86"/>
      <c r="F311" s="86"/>
      <c r="G311" s="86"/>
      <c r="H311" s="86"/>
      <c r="I311" s="86"/>
      <c r="J311" s="86"/>
      <c r="K311" s="86"/>
      <c r="L311" s="101"/>
      <c r="M311" s="86"/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  <c r="AH311" s="86"/>
      <c r="AI311" s="86"/>
      <c r="AJ311" s="86"/>
      <c r="AK311" s="86"/>
      <c r="AL311" s="86"/>
      <c r="AM311" s="95"/>
      <c r="AN311" s="86"/>
    </row>
    <row r="312" spans="1:40" ht="45" customHeight="1" x14ac:dyDescent="0.25">
      <c r="A312" s="86"/>
      <c r="B312" s="86"/>
      <c r="C312" s="86"/>
      <c r="D312" s="86"/>
      <c r="E312" s="86"/>
      <c r="F312" s="86"/>
      <c r="G312" s="86"/>
      <c r="H312" s="86"/>
      <c r="I312" s="86"/>
      <c r="J312" s="86"/>
      <c r="K312" s="86"/>
      <c r="L312" s="101"/>
      <c r="M312" s="86"/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  <c r="AH312" s="86"/>
      <c r="AI312" s="86"/>
      <c r="AJ312" s="86"/>
      <c r="AK312" s="86"/>
      <c r="AL312" s="86"/>
      <c r="AM312" s="95"/>
      <c r="AN312" s="86"/>
    </row>
    <row r="313" spans="1:40" ht="45" customHeight="1" x14ac:dyDescent="0.25">
      <c r="A313" s="86"/>
      <c r="B313" s="86"/>
      <c r="C313" s="86"/>
      <c r="D313" s="86"/>
      <c r="E313" s="86"/>
      <c r="F313" s="86"/>
      <c r="G313" s="86"/>
      <c r="H313" s="86"/>
      <c r="I313" s="86"/>
      <c r="J313" s="86"/>
      <c r="K313" s="86"/>
      <c r="L313" s="101"/>
      <c r="M313" s="86"/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  <c r="AH313" s="86"/>
      <c r="AI313" s="86"/>
      <c r="AJ313" s="86"/>
      <c r="AK313" s="86"/>
      <c r="AL313" s="86"/>
      <c r="AM313" s="95"/>
      <c r="AN313" s="86"/>
    </row>
    <row r="314" spans="1:40" ht="45" customHeight="1" x14ac:dyDescent="0.25">
      <c r="A314" s="86"/>
      <c r="B314" s="86"/>
      <c r="C314" s="86"/>
      <c r="D314" s="86"/>
      <c r="E314" s="86"/>
      <c r="F314" s="86"/>
      <c r="G314" s="86"/>
      <c r="H314" s="86"/>
      <c r="I314" s="86"/>
      <c r="J314" s="86"/>
      <c r="K314" s="86"/>
      <c r="L314" s="101"/>
      <c r="M314" s="86"/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  <c r="AH314" s="86"/>
      <c r="AI314" s="86"/>
      <c r="AJ314" s="86"/>
      <c r="AK314" s="86"/>
      <c r="AL314" s="86"/>
      <c r="AM314" s="95"/>
      <c r="AN314" s="86"/>
    </row>
    <row r="315" spans="1:40" ht="45" customHeight="1" x14ac:dyDescent="0.25">
      <c r="A315" s="86"/>
      <c r="B315" s="86"/>
      <c r="C315" s="86"/>
      <c r="D315" s="86"/>
      <c r="E315" s="86"/>
      <c r="F315" s="86"/>
      <c r="G315" s="86"/>
      <c r="H315" s="86"/>
      <c r="I315" s="86"/>
      <c r="J315" s="86"/>
      <c r="K315" s="86"/>
      <c r="L315" s="101"/>
      <c r="M315" s="86"/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86"/>
      <c r="AI315" s="86"/>
      <c r="AJ315" s="86"/>
      <c r="AK315" s="86"/>
      <c r="AL315" s="86"/>
      <c r="AM315" s="95"/>
      <c r="AN315" s="86"/>
    </row>
    <row r="316" spans="1:40" ht="45" customHeight="1" x14ac:dyDescent="0.25">
      <c r="A316" s="86"/>
      <c r="B316" s="86"/>
      <c r="C316" s="86"/>
      <c r="D316" s="86"/>
      <c r="E316" s="86"/>
      <c r="F316" s="86"/>
      <c r="G316" s="86"/>
      <c r="H316" s="86"/>
      <c r="I316" s="86"/>
      <c r="J316" s="86"/>
      <c r="K316" s="86"/>
      <c r="L316" s="101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86"/>
      <c r="AI316" s="86"/>
      <c r="AJ316" s="86"/>
      <c r="AK316" s="86"/>
      <c r="AL316" s="86"/>
      <c r="AM316" s="95"/>
      <c r="AN316" s="86"/>
    </row>
    <row r="317" spans="1:40" ht="45" customHeight="1" x14ac:dyDescent="0.25">
      <c r="A317" s="86"/>
      <c r="B317" s="86"/>
      <c r="C317" s="86"/>
      <c r="D317" s="86"/>
      <c r="E317" s="86"/>
      <c r="F317" s="86"/>
      <c r="G317" s="86"/>
      <c r="H317" s="86"/>
      <c r="I317" s="86"/>
      <c r="J317" s="86"/>
      <c r="K317" s="86"/>
      <c r="L317" s="101"/>
      <c r="M317" s="86"/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  <c r="AH317" s="86"/>
      <c r="AI317" s="86"/>
      <c r="AJ317" s="86"/>
      <c r="AK317" s="86"/>
      <c r="AL317" s="86"/>
      <c r="AM317" s="95"/>
      <c r="AN317" s="86"/>
    </row>
    <row r="318" spans="1:40" ht="45" customHeight="1" x14ac:dyDescent="0.25">
      <c r="A318" s="86"/>
      <c r="B318" s="86"/>
      <c r="C318" s="86"/>
      <c r="D318" s="86"/>
      <c r="E318" s="86"/>
      <c r="F318" s="86"/>
      <c r="G318" s="86"/>
      <c r="H318" s="86"/>
      <c r="I318" s="86"/>
      <c r="J318" s="86"/>
      <c r="K318" s="86"/>
      <c r="L318" s="101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  <c r="AH318" s="86"/>
      <c r="AI318" s="86"/>
      <c r="AJ318" s="86"/>
      <c r="AK318" s="86"/>
      <c r="AL318" s="86"/>
      <c r="AM318" s="95"/>
      <c r="AN318" s="86"/>
    </row>
    <row r="319" spans="1:40" ht="45" customHeight="1" x14ac:dyDescent="0.25">
      <c r="A319" s="86"/>
      <c r="B319" s="86"/>
      <c r="C319" s="86"/>
      <c r="D319" s="86"/>
      <c r="E319" s="86"/>
      <c r="F319" s="86"/>
      <c r="G319" s="86"/>
      <c r="H319" s="86"/>
      <c r="I319" s="86"/>
      <c r="J319" s="86"/>
      <c r="K319" s="86"/>
      <c r="L319" s="101"/>
      <c r="M319" s="86"/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  <c r="AH319" s="86"/>
      <c r="AI319" s="86"/>
      <c r="AJ319" s="86"/>
      <c r="AK319" s="86"/>
      <c r="AL319" s="86"/>
      <c r="AM319" s="95"/>
      <c r="AN319" s="86"/>
    </row>
    <row r="320" spans="1:40" ht="45" customHeight="1" x14ac:dyDescent="0.25">
      <c r="A320" s="86"/>
      <c r="B320" s="86"/>
      <c r="C320" s="86"/>
      <c r="D320" s="86"/>
      <c r="E320" s="86"/>
      <c r="F320" s="86"/>
      <c r="G320" s="86"/>
      <c r="H320" s="86"/>
      <c r="I320" s="86"/>
      <c r="J320" s="86"/>
      <c r="K320" s="86"/>
      <c r="L320" s="101"/>
      <c r="M320" s="86"/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  <c r="AH320" s="86"/>
      <c r="AI320" s="86"/>
      <c r="AJ320" s="86"/>
      <c r="AK320" s="86"/>
      <c r="AL320" s="86"/>
      <c r="AM320" s="95"/>
      <c r="AN320" s="86"/>
    </row>
    <row r="321" spans="1:40" ht="45" customHeight="1" x14ac:dyDescent="0.25">
      <c r="A321" s="86"/>
      <c r="B321" s="86"/>
      <c r="C321" s="86"/>
      <c r="D321" s="86"/>
      <c r="E321" s="86"/>
      <c r="F321" s="86"/>
      <c r="G321" s="86"/>
      <c r="H321" s="86"/>
      <c r="I321" s="86"/>
      <c r="J321" s="86"/>
      <c r="K321" s="86"/>
      <c r="L321" s="101"/>
      <c r="M321" s="86"/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  <c r="AH321" s="86"/>
      <c r="AI321" s="86"/>
      <c r="AJ321" s="86"/>
      <c r="AK321" s="86"/>
      <c r="AL321" s="86"/>
      <c r="AM321" s="95"/>
      <c r="AN321" s="86"/>
    </row>
    <row r="322" spans="1:40" ht="45" customHeight="1" x14ac:dyDescent="0.25">
      <c r="A322" s="86"/>
      <c r="B322" s="86"/>
      <c r="C322" s="86"/>
      <c r="D322" s="86"/>
      <c r="E322" s="86"/>
      <c r="F322" s="86"/>
      <c r="G322" s="86"/>
      <c r="H322" s="86"/>
      <c r="I322" s="86"/>
      <c r="J322" s="86"/>
      <c r="K322" s="86"/>
      <c r="L322" s="101"/>
      <c r="M322" s="86"/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  <c r="AH322" s="86"/>
      <c r="AI322" s="86"/>
      <c r="AJ322" s="86"/>
      <c r="AK322" s="86"/>
      <c r="AL322" s="86"/>
      <c r="AM322" s="95"/>
      <c r="AN322" s="86"/>
    </row>
    <row r="323" spans="1:40" ht="45" customHeight="1" x14ac:dyDescent="0.25">
      <c r="A323" s="86"/>
      <c r="B323" s="86"/>
      <c r="C323" s="86"/>
      <c r="D323" s="86"/>
      <c r="E323" s="86"/>
      <c r="F323" s="86"/>
      <c r="G323" s="86"/>
      <c r="H323" s="86"/>
      <c r="I323" s="86"/>
      <c r="J323" s="86"/>
      <c r="K323" s="86"/>
      <c r="L323" s="101"/>
      <c r="M323" s="86"/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  <c r="AH323" s="86"/>
      <c r="AI323" s="86"/>
      <c r="AJ323" s="86"/>
      <c r="AK323" s="86"/>
      <c r="AL323" s="86"/>
      <c r="AM323" s="95"/>
      <c r="AN323" s="86"/>
    </row>
    <row r="324" spans="1:40" ht="45" customHeight="1" x14ac:dyDescent="0.25">
      <c r="A324" s="86"/>
      <c r="B324" s="86"/>
      <c r="C324" s="86"/>
      <c r="D324" s="86"/>
      <c r="E324" s="86"/>
      <c r="F324" s="86"/>
      <c r="G324" s="86"/>
      <c r="H324" s="86"/>
      <c r="I324" s="86"/>
      <c r="J324" s="86"/>
      <c r="K324" s="86"/>
      <c r="L324" s="101"/>
      <c r="M324" s="86"/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  <c r="AH324" s="86"/>
      <c r="AI324" s="86"/>
      <c r="AJ324" s="86"/>
      <c r="AK324" s="86"/>
      <c r="AL324" s="86"/>
      <c r="AM324" s="95"/>
      <c r="AN324" s="86"/>
    </row>
    <row r="325" spans="1:40" ht="45" customHeight="1" x14ac:dyDescent="0.25">
      <c r="A325" s="86"/>
      <c r="B325" s="86"/>
      <c r="C325" s="86"/>
      <c r="D325" s="86"/>
      <c r="E325" s="86"/>
      <c r="F325" s="86"/>
      <c r="G325" s="86"/>
      <c r="H325" s="86"/>
      <c r="I325" s="86"/>
      <c r="J325" s="86"/>
      <c r="K325" s="86"/>
      <c r="L325" s="101"/>
      <c r="M325" s="86"/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  <c r="AH325" s="86"/>
      <c r="AI325" s="86"/>
      <c r="AJ325" s="86"/>
      <c r="AK325" s="86"/>
      <c r="AL325" s="86"/>
      <c r="AM325" s="95"/>
      <c r="AN325" s="86"/>
    </row>
    <row r="326" spans="1:40" ht="45" customHeight="1" x14ac:dyDescent="0.25">
      <c r="A326" s="86"/>
      <c r="B326" s="86"/>
      <c r="C326" s="86"/>
      <c r="D326" s="86"/>
      <c r="E326" s="86"/>
      <c r="F326" s="86"/>
      <c r="G326" s="86"/>
      <c r="H326" s="86"/>
      <c r="I326" s="86"/>
      <c r="J326" s="86"/>
      <c r="K326" s="86"/>
      <c r="L326" s="101"/>
      <c r="M326" s="86"/>
      <c r="N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  <c r="AH326" s="86"/>
      <c r="AI326" s="86"/>
      <c r="AJ326" s="86"/>
      <c r="AK326" s="86"/>
      <c r="AL326" s="86"/>
      <c r="AM326" s="95"/>
      <c r="AN326" s="86"/>
    </row>
    <row r="327" spans="1:40" ht="45" customHeight="1" x14ac:dyDescent="0.25">
      <c r="A327" s="86"/>
      <c r="B327" s="86"/>
      <c r="C327" s="86"/>
      <c r="D327" s="86"/>
      <c r="E327" s="86"/>
      <c r="F327" s="86"/>
      <c r="G327" s="86"/>
      <c r="H327" s="86"/>
      <c r="I327" s="86"/>
      <c r="J327" s="86"/>
      <c r="K327" s="86"/>
      <c r="L327" s="101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  <c r="AH327" s="86"/>
      <c r="AI327" s="86"/>
      <c r="AJ327" s="86"/>
      <c r="AK327" s="86"/>
      <c r="AL327" s="86"/>
      <c r="AM327" s="95"/>
      <c r="AN327" s="86"/>
    </row>
    <row r="328" spans="1:40" ht="45" customHeight="1" x14ac:dyDescent="0.25">
      <c r="A328" s="86"/>
      <c r="B328" s="86"/>
      <c r="C328" s="86"/>
      <c r="D328" s="86"/>
      <c r="E328" s="86"/>
      <c r="F328" s="86"/>
      <c r="G328" s="86"/>
      <c r="H328" s="86"/>
      <c r="I328" s="86"/>
      <c r="J328" s="86"/>
      <c r="K328" s="86"/>
      <c r="L328" s="101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86"/>
      <c r="AI328" s="86"/>
      <c r="AJ328" s="86"/>
      <c r="AK328" s="86"/>
      <c r="AL328" s="86"/>
      <c r="AM328" s="95"/>
      <c r="AN328" s="86"/>
    </row>
    <row r="329" spans="1:40" ht="45" customHeight="1" x14ac:dyDescent="0.25">
      <c r="A329" s="86"/>
      <c r="B329" s="86"/>
      <c r="C329" s="86"/>
      <c r="D329" s="86"/>
      <c r="E329" s="86"/>
      <c r="F329" s="86"/>
      <c r="G329" s="86"/>
      <c r="H329" s="86"/>
      <c r="I329" s="86"/>
      <c r="J329" s="86"/>
      <c r="K329" s="86"/>
      <c r="L329" s="101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86"/>
      <c r="AI329" s="86"/>
      <c r="AJ329" s="86"/>
      <c r="AK329" s="86"/>
      <c r="AL329" s="86"/>
      <c r="AM329" s="95"/>
      <c r="AN329" s="86"/>
    </row>
    <row r="330" spans="1:40" ht="45" customHeight="1" x14ac:dyDescent="0.25">
      <c r="A330" s="86"/>
      <c r="B330" s="86"/>
      <c r="C330" s="86"/>
      <c r="D330" s="86"/>
      <c r="E330" s="86"/>
      <c r="F330" s="86"/>
      <c r="G330" s="86"/>
      <c r="H330" s="86"/>
      <c r="I330" s="86"/>
      <c r="J330" s="86"/>
      <c r="K330" s="86"/>
      <c r="L330" s="101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86"/>
      <c r="AI330" s="86"/>
      <c r="AJ330" s="86"/>
      <c r="AK330" s="86"/>
      <c r="AL330" s="86"/>
      <c r="AM330" s="95"/>
      <c r="AN330" s="86"/>
    </row>
    <row r="331" spans="1:40" ht="45" customHeight="1" x14ac:dyDescent="0.25">
      <c r="A331" s="86"/>
      <c r="B331" s="86"/>
      <c r="C331" s="86"/>
      <c r="D331" s="86"/>
      <c r="E331" s="86"/>
      <c r="F331" s="86"/>
      <c r="G331" s="86"/>
      <c r="H331" s="86"/>
      <c r="I331" s="86"/>
      <c r="J331" s="86"/>
      <c r="K331" s="86"/>
      <c r="L331" s="101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86"/>
      <c r="AI331" s="86"/>
      <c r="AJ331" s="86"/>
      <c r="AK331" s="86"/>
      <c r="AL331" s="86"/>
      <c r="AM331" s="95"/>
      <c r="AN331" s="86"/>
    </row>
    <row r="332" spans="1:40" ht="45" customHeight="1" x14ac:dyDescent="0.25">
      <c r="A332" s="86"/>
      <c r="B332" s="86"/>
      <c r="C332" s="86"/>
      <c r="D332" s="86"/>
      <c r="E332" s="86"/>
      <c r="F332" s="86"/>
      <c r="G332" s="86"/>
      <c r="H332" s="86"/>
      <c r="I332" s="86"/>
      <c r="J332" s="86"/>
      <c r="K332" s="86"/>
      <c r="L332" s="101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86"/>
      <c r="AI332" s="86"/>
      <c r="AJ332" s="86"/>
      <c r="AK332" s="86"/>
      <c r="AL332" s="86"/>
      <c r="AM332" s="95"/>
      <c r="AN332" s="86"/>
    </row>
    <row r="333" spans="1:40" ht="45" customHeight="1" x14ac:dyDescent="0.25">
      <c r="A333" s="86"/>
      <c r="B333" s="86"/>
      <c r="C333" s="86"/>
      <c r="D333" s="86"/>
      <c r="E333" s="86"/>
      <c r="F333" s="86"/>
      <c r="G333" s="86"/>
      <c r="H333" s="86"/>
      <c r="I333" s="86"/>
      <c r="J333" s="86"/>
      <c r="K333" s="86"/>
      <c r="L333" s="101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86"/>
      <c r="AI333" s="86"/>
      <c r="AJ333" s="86"/>
      <c r="AK333" s="86"/>
      <c r="AL333" s="86"/>
      <c r="AM333" s="95"/>
      <c r="AN333" s="86"/>
    </row>
    <row r="334" spans="1:40" ht="45" customHeight="1" x14ac:dyDescent="0.25">
      <c r="A334" s="86"/>
      <c r="B334" s="86"/>
      <c r="C334" s="86"/>
      <c r="D334" s="86"/>
      <c r="E334" s="86"/>
      <c r="F334" s="86"/>
      <c r="G334" s="86"/>
      <c r="H334" s="86"/>
      <c r="I334" s="86"/>
      <c r="J334" s="86"/>
      <c r="K334" s="86"/>
      <c r="L334" s="101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86"/>
      <c r="AI334" s="86"/>
      <c r="AJ334" s="86"/>
      <c r="AK334" s="86"/>
      <c r="AL334" s="86"/>
      <c r="AM334" s="95"/>
      <c r="AN334" s="86"/>
    </row>
    <row r="335" spans="1:40" ht="45" customHeight="1" x14ac:dyDescent="0.25">
      <c r="A335" s="86"/>
      <c r="B335" s="86"/>
      <c r="C335" s="86"/>
      <c r="D335" s="86"/>
      <c r="E335" s="86"/>
      <c r="F335" s="86"/>
      <c r="G335" s="86"/>
      <c r="H335" s="86"/>
      <c r="I335" s="86"/>
      <c r="J335" s="86"/>
      <c r="K335" s="86"/>
      <c r="L335" s="101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86"/>
      <c r="AI335" s="86"/>
      <c r="AJ335" s="86"/>
      <c r="AK335" s="86"/>
      <c r="AL335" s="86"/>
      <c r="AM335" s="95"/>
      <c r="AN335" s="86"/>
    </row>
    <row r="336" spans="1:40" ht="45" customHeight="1" x14ac:dyDescent="0.25">
      <c r="A336" s="86"/>
      <c r="B336" s="86"/>
      <c r="C336" s="86"/>
      <c r="D336" s="86"/>
      <c r="E336" s="86"/>
      <c r="F336" s="86"/>
      <c r="G336" s="86"/>
      <c r="H336" s="86"/>
      <c r="I336" s="86"/>
      <c r="J336" s="86"/>
      <c r="K336" s="86"/>
      <c r="L336" s="101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86"/>
      <c r="AI336" s="86"/>
      <c r="AJ336" s="86"/>
      <c r="AK336" s="86"/>
      <c r="AL336" s="86"/>
      <c r="AM336" s="95"/>
      <c r="AN336" s="86"/>
    </row>
    <row r="337" spans="1:40" ht="45" customHeight="1" x14ac:dyDescent="0.25">
      <c r="A337" s="86"/>
      <c r="B337" s="86"/>
      <c r="C337" s="86"/>
      <c r="D337" s="86"/>
      <c r="E337" s="86"/>
      <c r="F337" s="86"/>
      <c r="G337" s="86"/>
      <c r="H337" s="86"/>
      <c r="I337" s="86"/>
      <c r="J337" s="86"/>
      <c r="K337" s="86"/>
      <c r="L337" s="101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86"/>
      <c r="AI337" s="86"/>
      <c r="AJ337" s="86"/>
      <c r="AK337" s="86"/>
      <c r="AL337" s="86"/>
      <c r="AM337" s="95"/>
      <c r="AN337" s="86"/>
    </row>
    <row r="338" spans="1:40" ht="45" customHeight="1" x14ac:dyDescent="0.25">
      <c r="A338" s="86"/>
      <c r="B338" s="86"/>
      <c r="C338" s="86"/>
      <c r="D338" s="86"/>
      <c r="E338" s="86"/>
      <c r="F338" s="86"/>
      <c r="G338" s="86"/>
      <c r="H338" s="86"/>
      <c r="I338" s="86"/>
      <c r="J338" s="86"/>
      <c r="K338" s="86"/>
      <c r="L338" s="101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86"/>
      <c r="AI338" s="86"/>
      <c r="AJ338" s="86"/>
      <c r="AK338" s="86"/>
      <c r="AL338" s="86"/>
      <c r="AM338" s="95"/>
      <c r="AN338" s="86"/>
    </row>
    <row r="339" spans="1:40" ht="45" customHeight="1" x14ac:dyDescent="0.25">
      <c r="A339" s="86"/>
      <c r="B339" s="86"/>
      <c r="C339" s="86"/>
      <c r="D339" s="86"/>
      <c r="E339" s="86"/>
      <c r="F339" s="86"/>
      <c r="G339" s="86"/>
      <c r="H339" s="86"/>
      <c r="I339" s="86"/>
      <c r="J339" s="86"/>
      <c r="K339" s="86"/>
      <c r="L339" s="101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86"/>
      <c r="AI339" s="86"/>
      <c r="AJ339" s="86"/>
      <c r="AK339" s="86"/>
      <c r="AL339" s="86"/>
      <c r="AM339" s="95"/>
      <c r="AN339" s="86"/>
    </row>
    <row r="340" spans="1:40" ht="45" customHeight="1" x14ac:dyDescent="0.25">
      <c r="A340" s="86"/>
      <c r="B340" s="86"/>
      <c r="C340" s="86"/>
      <c r="D340" s="86"/>
      <c r="E340" s="86"/>
      <c r="F340" s="86"/>
      <c r="G340" s="86"/>
      <c r="H340" s="86"/>
      <c r="I340" s="86"/>
      <c r="J340" s="86"/>
      <c r="K340" s="86"/>
      <c r="L340" s="101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86"/>
      <c r="AI340" s="86"/>
      <c r="AJ340" s="86"/>
      <c r="AK340" s="86"/>
      <c r="AL340" s="86"/>
      <c r="AM340" s="95"/>
      <c r="AN340" s="86"/>
    </row>
    <row r="341" spans="1:40" ht="45" customHeight="1" x14ac:dyDescent="0.25">
      <c r="A341" s="86"/>
      <c r="B341" s="86"/>
      <c r="C341" s="86"/>
      <c r="D341" s="86"/>
      <c r="E341" s="86"/>
      <c r="F341" s="86"/>
      <c r="G341" s="86"/>
      <c r="H341" s="86"/>
      <c r="I341" s="86"/>
      <c r="J341" s="86"/>
      <c r="K341" s="86"/>
      <c r="L341" s="101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86"/>
      <c r="AI341" s="86"/>
      <c r="AJ341" s="86"/>
      <c r="AK341" s="86"/>
      <c r="AL341" s="86"/>
      <c r="AM341" s="95"/>
      <c r="AN341" s="86"/>
    </row>
    <row r="342" spans="1:40" ht="45" customHeight="1" x14ac:dyDescent="0.25">
      <c r="A342" s="86"/>
      <c r="B342" s="86"/>
      <c r="C342" s="86"/>
      <c r="D342" s="86"/>
      <c r="E342" s="86"/>
      <c r="F342" s="86"/>
      <c r="G342" s="86"/>
      <c r="H342" s="86"/>
      <c r="I342" s="86"/>
      <c r="J342" s="86"/>
      <c r="K342" s="86"/>
      <c r="L342" s="101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86"/>
      <c r="AI342" s="86"/>
      <c r="AJ342" s="86"/>
      <c r="AK342" s="86"/>
      <c r="AL342" s="86"/>
      <c r="AM342" s="95"/>
      <c r="AN342" s="86"/>
    </row>
    <row r="343" spans="1:40" ht="45" customHeight="1" x14ac:dyDescent="0.25">
      <c r="A343" s="86"/>
      <c r="B343" s="86"/>
      <c r="C343" s="86"/>
      <c r="D343" s="86"/>
      <c r="E343" s="86"/>
      <c r="F343" s="86"/>
      <c r="G343" s="86"/>
      <c r="H343" s="86"/>
      <c r="I343" s="86"/>
      <c r="J343" s="86"/>
      <c r="K343" s="86"/>
      <c r="L343" s="101"/>
      <c r="M343" s="86"/>
      <c r="N343" s="86"/>
      <c r="O343" s="86"/>
      <c r="P343" s="86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  <c r="AH343" s="86"/>
      <c r="AI343" s="86"/>
      <c r="AJ343" s="86"/>
      <c r="AK343" s="86"/>
      <c r="AL343" s="86"/>
      <c r="AM343" s="95"/>
      <c r="AN343" s="86"/>
    </row>
    <row r="344" spans="1:40" ht="45" customHeight="1" x14ac:dyDescent="0.25">
      <c r="A344" s="86"/>
      <c r="B344" s="86"/>
      <c r="C344" s="86"/>
      <c r="D344" s="86"/>
      <c r="E344" s="86"/>
      <c r="F344" s="86"/>
      <c r="G344" s="86"/>
      <c r="H344" s="86"/>
      <c r="I344" s="86"/>
      <c r="J344" s="86"/>
      <c r="K344" s="86"/>
      <c r="L344" s="101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86"/>
      <c r="AI344" s="86"/>
      <c r="AJ344" s="86"/>
      <c r="AK344" s="86"/>
      <c r="AL344" s="86"/>
      <c r="AM344" s="95"/>
      <c r="AN344" s="86"/>
    </row>
    <row r="345" spans="1:40" ht="45" customHeight="1" x14ac:dyDescent="0.25">
      <c r="A345" s="86"/>
      <c r="B345" s="86"/>
      <c r="C345" s="86"/>
      <c r="D345" s="86"/>
      <c r="E345" s="86"/>
      <c r="F345" s="86"/>
      <c r="G345" s="86"/>
      <c r="H345" s="86"/>
      <c r="I345" s="86"/>
      <c r="J345" s="86"/>
      <c r="K345" s="86"/>
      <c r="L345" s="101"/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86"/>
      <c r="AI345" s="86"/>
      <c r="AJ345" s="86"/>
      <c r="AK345" s="86"/>
      <c r="AL345" s="86"/>
      <c r="AM345" s="95"/>
      <c r="AN345" s="86"/>
    </row>
    <row r="346" spans="1:40" ht="45" customHeight="1" x14ac:dyDescent="0.25">
      <c r="A346" s="86"/>
      <c r="B346" s="86"/>
      <c r="C346" s="86"/>
      <c r="D346" s="86"/>
      <c r="E346" s="86"/>
      <c r="F346" s="86"/>
      <c r="G346" s="86"/>
      <c r="H346" s="86"/>
      <c r="I346" s="86"/>
      <c r="J346" s="86"/>
      <c r="K346" s="86"/>
      <c r="L346" s="101"/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86"/>
      <c r="AI346" s="86"/>
      <c r="AJ346" s="86"/>
      <c r="AK346" s="86"/>
      <c r="AL346" s="86"/>
      <c r="AM346" s="95"/>
      <c r="AN346" s="86"/>
    </row>
    <row r="347" spans="1:40" ht="45" customHeight="1" x14ac:dyDescent="0.25">
      <c r="A347" s="86"/>
      <c r="B347" s="86"/>
      <c r="C347" s="86"/>
      <c r="D347" s="86"/>
      <c r="E347" s="86"/>
      <c r="F347" s="86"/>
      <c r="G347" s="86"/>
      <c r="H347" s="86"/>
      <c r="I347" s="86"/>
      <c r="J347" s="86"/>
      <c r="K347" s="86"/>
      <c r="L347" s="101"/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86"/>
      <c r="AI347" s="86"/>
      <c r="AJ347" s="86"/>
      <c r="AK347" s="86"/>
      <c r="AL347" s="86"/>
      <c r="AM347" s="95"/>
      <c r="AN347" s="86"/>
    </row>
    <row r="348" spans="1:40" ht="45" customHeight="1" x14ac:dyDescent="0.25">
      <c r="A348" s="86"/>
      <c r="B348" s="86"/>
      <c r="C348" s="86"/>
      <c r="D348" s="86"/>
      <c r="E348" s="86"/>
      <c r="F348" s="86"/>
      <c r="G348" s="86"/>
      <c r="H348" s="86"/>
      <c r="I348" s="86"/>
      <c r="J348" s="86"/>
      <c r="K348" s="86"/>
      <c r="L348" s="101"/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86"/>
      <c r="AI348" s="86"/>
      <c r="AJ348" s="86"/>
      <c r="AK348" s="86"/>
      <c r="AL348" s="86"/>
      <c r="AM348" s="95"/>
      <c r="AN348" s="86"/>
    </row>
    <row r="349" spans="1:40" ht="45" customHeight="1" x14ac:dyDescent="0.25">
      <c r="A349" s="86"/>
      <c r="B349" s="86"/>
      <c r="C349" s="86"/>
      <c r="D349" s="86"/>
      <c r="E349" s="86"/>
      <c r="F349" s="86"/>
      <c r="G349" s="86"/>
      <c r="H349" s="86"/>
      <c r="I349" s="86"/>
      <c r="J349" s="86"/>
      <c r="K349" s="86"/>
      <c r="L349" s="101"/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86"/>
      <c r="AI349" s="86"/>
      <c r="AJ349" s="86"/>
      <c r="AK349" s="86"/>
      <c r="AL349" s="86"/>
      <c r="AM349" s="95"/>
      <c r="AN349" s="86"/>
    </row>
    <row r="350" spans="1:40" ht="45" customHeight="1" x14ac:dyDescent="0.25">
      <c r="A350" s="86"/>
      <c r="B350" s="86"/>
      <c r="C350" s="86"/>
      <c r="D350" s="86"/>
      <c r="E350" s="86"/>
      <c r="F350" s="86"/>
      <c r="G350" s="86"/>
      <c r="H350" s="86"/>
      <c r="I350" s="86"/>
      <c r="J350" s="86"/>
      <c r="K350" s="86"/>
      <c r="L350" s="101"/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86"/>
      <c r="AI350" s="86"/>
      <c r="AJ350" s="86"/>
      <c r="AK350" s="86"/>
      <c r="AL350" s="86"/>
      <c r="AM350" s="95"/>
      <c r="AN350" s="86"/>
    </row>
    <row r="351" spans="1:40" ht="45" customHeight="1" x14ac:dyDescent="0.25">
      <c r="A351" s="86"/>
      <c r="B351" s="86"/>
      <c r="C351" s="86"/>
      <c r="D351" s="86"/>
      <c r="E351" s="86"/>
      <c r="F351" s="86"/>
      <c r="G351" s="86"/>
      <c r="H351" s="86"/>
      <c r="I351" s="86"/>
      <c r="J351" s="86"/>
      <c r="K351" s="86"/>
      <c r="L351" s="101"/>
      <c r="M351" s="86"/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86"/>
      <c r="AI351" s="86"/>
      <c r="AJ351" s="86"/>
      <c r="AK351" s="86"/>
      <c r="AL351" s="86"/>
      <c r="AM351" s="95"/>
      <c r="AN351" s="86"/>
    </row>
    <row r="352" spans="1:40" ht="45" customHeight="1" x14ac:dyDescent="0.25">
      <c r="A352" s="86"/>
      <c r="B352" s="86"/>
      <c r="C352" s="86"/>
      <c r="D352" s="86"/>
      <c r="E352" s="86"/>
      <c r="F352" s="86"/>
      <c r="G352" s="86"/>
      <c r="H352" s="86"/>
      <c r="I352" s="86"/>
      <c r="J352" s="86"/>
      <c r="K352" s="86"/>
      <c r="L352" s="101"/>
      <c r="M352" s="86"/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86"/>
      <c r="AI352" s="86"/>
      <c r="AJ352" s="86"/>
      <c r="AK352" s="86"/>
      <c r="AL352" s="86"/>
      <c r="AM352" s="95"/>
      <c r="AN352" s="86"/>
    </row>
    <row r="353" spans="1:40" ht="45" customHeight="1" x14ac:dyDescent="0.25">
      <c r="A353" s="86"/>
      <c r="B353" s="86"/>
      <c r="C353" s="86"/>
      <c r="D353" s="86"/>
      <c r="E353" s="86"/>
      <c r="F353" s="86"/>
      <c r="G353" s="86"/>
      <c r="H353" s="86"/>
      <c r="I353" s="86"/>
      <c r="J353" s="86"/>
      <c r="K353" s="86"/>
      <c r="L353" s="101"/>
      <c r="M353" s="86"/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86"/>
      <c r="AI353" s="86"/>
      <c r="AJ353" s="86"/>
      <c r="AK353" s="86"/>
      <c r="AL353" s="86"/>
      <c r="AM353" s="95"/>
      <c r="AN353" s="86"/>
    </row>
    <row r="354" spans="1:40" ht="45" customHeight="1" x14ac:dyDescent="0.25">
      <c r="A354" s="86"/>
      <c r="B354" s="86"/>
      <c r="C354" s="86"/>
      <c r="D354" s="86"/>
      <c r="E354" s="86"/>
      <c r="F354" s="86"/>
      <c r="G354" s="86"/>
      <c r="H354" s="86"/>
      <c r="I354" s="86"/>
      <c r="J354" s="86"/>
      <c r="K354" s="86"/>
      <c r="L354" s="101"/>
      <c r="M354" s="86"/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86"/>
      <c r="AI354" s="86"/>
      <c r="AJ354" s="86"/>
      <c r="AK354" s="86"/>
      <c r="AL354" s="86"/>
      <c r="AM354" s="95"/>
      <c r="AN354" s="86"/>
    </row>
    <row r="355" spans="1:40" ht="45" customHeight="1" x14ac:dyDescent="0.25">
      <c r="A355" s="86"/>
      <c r="B355" s="86"/>
      <c r="C355" s="86"/>
      <c r="D355" s="86"/>
      <c r="E355" s="86"/>
      <c r="F355" s="86"/>
      <c r="G355" s="86"/>
      <c r="H355" s="86"/>
      <c r="I355" s="86"/>
      <c r="J355" s="86"/>
      <c r="K355" s="86"/>
      <c r="L355" s="101"/>
      <c r="M355" s="86"/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86"/>
      <c r="AI355" s="86"/>
      <c r="AJ355" s="86"/>
      <c r="AK355" s="86"/>
      <c r="AL355" s="86"/>
      <c r="AM355" s="95"/>
      <c r="AN355" s="86"/>
    </row>
    <row r="356" spans="1:40" ht="45" customHeight="1" x14ac:dyDescent="0.25">
      <c r="A356" s="86"/>
      <c r="B356" s="86"/>
      <c r="C356" s="86"/>
      <c r="D356" s="86"/>
      <c r="E356" s="86"/>
      <c r="F356" s="86"/>
      <c r="G356" s="86"/>
      <c r="H356" s="86"/>
      <c r="I356" s="86"/>
      <c r="J356" s="86"/>
      <c r="K356" s="86"/>
      <c r="L356" s="101"/>
      <c r="M356" s="86"/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86"/>
      <c r="AI356" s="86"/>
      <c r="AJ356" s="86"/>
      <c r="AK356" s="86"/>
      <c r="AL356" s="86"/>
      <c r="AM356" s="95"/>
      <c r="AN356" s="86"/>
    </row>
    <row r="357" spans="1:40" ht="45" customHeight="1" x14ac:dyDescent="0.25">
      <c r="A357" s="86"/>
      <c r="B357" s="86"/>
      <c r="C357" s="86"/>
      <c r="D357" s="86"/>
      <c r="E357" s="86"/>
      <c r="F357" s="86"/>
      <c r="G357" s="86"/>
      <c r="H357" s="86"/>
      <c r="I357" s="86"/>
      <c r="J357" s="86"/>
      <c r="K357" s="86"/>
      <c r="L357" s="101"/>
      <c r="M357" s="86"/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86"/>
      <c r="AI357" s="86"/>
      <c r="AJ357" s="86"/>
      <c r="AK357" s="86"/>
      <c r="AL357" s="86"/>
      <c r="AM357" s="95"/>
      <c r="AN357" s="86"/>
    </row>
    <row r="358" spans="1:40" ht="45" customHeight="1" x14ac:dyDescent="0.25">
      <c r="A358" s="86"/>
      <c r="B358" s="86"/>
      <c r="C358" s="86"/>
      <c r="D358" s="86"/>
      <c r="E358" s="86"/>
      <c r="F358" s="86"/>
      <c r="G358" s="86"/>
      <c r="H358" s="86"/>
      <c r="I358" s="86"/>
      <c r="J358" s="86"/>
      <c r="K358" s="86"/>
      <c r="L358" s="101"/>
      <c r="M358" s="86"/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86"/>
      <c r="AI358" s="86"/>
      <c r="AJ358" s="86"/>
      <c r="AK358" s="86"/>
      <c r="AL358" s="86"/>
      <c r="AM358" s="95"/>
      <c r="AN358" s="86"/>
    </row>
    <row r="359" spans="1:40" ht="45" customHeight="1" x14ac:dyDescent="0.25">
      <c r="A359" s="86"/>
      <c r="B359" s="86"/>
      <c r="C359" s="86"/>
      <c r="D359" s="86"/>
      <c r="E359" s="86"/>
      <c r="F359" s="86"/>
      <c r="G359" s="86"/>
      <c r="H359" s="86"/>
      <c r="I359" s="86"/>
      <c r="J359" s="86"/>
      <c r="K359" s="86"/>
      <c r="L359" s="101"/>
      <c r="M359" s="86"/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86"/>
      <c r="AI359" s="86"/>
      <c r="AJ359" s="86"/>
      <c r="AK359" s="86"/>
      <c r="AL359" s="86"/>
      <c r="AM359" s="95"/>
      <c r="AN359" s="86"/>
    </row>
    <row r="360" spans="1:40" ht="45" customHeight="1" x14ac:dyDescent="0.25">
      <c r="A360" s="86"/>
      <c r="B360" s="86"/>
      <c r="C360" s="86"/>
      <c r="D360" s="86"/>
      <c r="E360" s="86"/>
      <c r="F360" s="86"/>
      <c r="G360" s="86"/>
      <c r="H360" s="86"/>
      <c r="I360" s="86"/>
      <c r="J360" s="86"/>
      <c r="K360" s="86"/>
      <c r="L360" s="101"/>
      <c r="M360" s="86"/>
      <c r="N360" s="86"/>
      <c r="O360" s="86"/>
      <c r="P360" s="86"/>
      <c r="Q360" s="86"/>
      <c r="R360" s="86"/>
      <c r="S360" s="86"/>
      <c r="T360" s="86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  <c r="AH360" s="86"/>
      <c r="AI360" s="86"/>
      <c r="AJ360" s="86"/>
      <c r="AK360" s="86"/>
      <c r="AL360" s="86"/>
      <c r="AM360" s="95"/>
      <c r="AN360" s="86"/>
    </row>
    <row r="361" spans="1:40" ht="45" customHeight="1" x14ac:dyDescent="0.25">
      <c r="A361" s="86"/>
      <c r="B361" s="86"/>
      <c r="C361" s="86"/>
      <c r="D361" s="86"/>
      <c r="E361" s="86"/>
      <c r="F361" s="86"/>
      <c r="G361" s="86"/>
      <c r="H361" s="86"/>
      <c r="I361" s="86"/>
      <c r="J361" s="86"/>
      <c r="K361" s="86"/>
      <c r="L361" s="101"/>
      <c r="M361" s="86"/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86"/>
      <c r="AI361" s="86"/>
      <c r="AJ361" s="86"/>
      <c r="AK361" s="86"/>
      <c r="AL361" s="86"/>
      <c r="AM361" s="95"/>
      <c r="AN361" s="86"/>
    </row>
    <row r="362" spans="1:40" ht="45" customHeight="1" x14ac:dyDescent="0.25">
      <c r="A362" s="86"/>
      <c r="B362" s="86"/>
      <c r="C362" s="86"/>
      <c r="D362" s="86"/>
      <c r="E362" s="86"/>
      <c r="F362" s="86"/>
      <c r="G362" s="86"/>
      <c r="H362" s="86"/>
      <c r="I362" s="86"/>
      <c r="J362" s="86"/>
      <c r="K362" s="86"/>
      <c r="L362" s="101"/>
      <c r="M362" s="86"/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86"/>
      <c r="AI362" s="86"/>
      <c r="AJ362" s="86"/>
      <c r="AK362" s="86"/>
      <c r="AL362" s="86"/>
      <c r="AM362" s="95"/>
      <c r="AN362" s="86"/>
    </row>
    <row r="363" spans="1:40" ht="45" customHeight="1" x14ac:dyDescent="0.25">
      <c r="A363" s="86"/>
      <c r="B363" s="86"/>
      <c r="C363" s="86"/>
      <c r="D363" s="86"/>
      <c r="E363" s="86"/>
      <c r="F363" s="86"/>
      <c r="G363" s="86"/>
      <c r="H363" s="86"/>
      <c r="I363" s="86"/>
      <c r="J363" s="86"/>
      <c r="K363" s="86"/>
      <c r="L363" s="101"/>
      <c r="M363" s="86"/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86"/>
      <c r="AI363" s="86"/>
      <c r="AJ363" s="86"/>
      <c r="AK363" s="86"/>
      <c r="AL363" s="86"/>
      <c r="AM363" s="95"/>
      <c r="AN363" s="86"/>
    </row>
    <row r="364" spans="1:40" ht="45" customHeight="1" x14ac:dyDescent="0.25">
      <c r="A364" s="86"/>
      <c r="B364" s="86"/>
      <c r="C364" s="86"/>
      <c r="D364" s="86"/>
      <c r="E364" s="86"/>
      <c r="F364" s="86"/>
      <c r="G364" s="86"/>
      <c r="H364" s="86"/>
      <c r="I364" s="86"/>
      <c r="J364" s="86"/>
      <c r="K364" s="86"/>
      <c r="L364" s="101"/>
      <c r="M364" s="86"/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86"/>
      <c r="AI364" s="86"/>
      <c r="AJ364" s="86"/>
      <c r="AK364" s="86"/>
      <c r="AL364" s="86"/>
      <c r="AM364" s="95"/>
      <c r="AN364" s="86"/>
    </row>
    <row r="365" spans="1:40" ht="45" customHeight="1" x14ac:dyDescent="0.25">
      <c r="A365" s="86"/>
      <c r="B365" s="86"/>
      <c r="C365" s="86"/>
      <c r="D365" s="86"/>
      <c r="E365" s="86"/>
      <c r="F365" s="86"/>
      <c r="G365" s="86"/>
      <c r="H365" s="86"/>
      <c r="I365" s="86"/>
      <c r="J365" s="86"/>
      <c r="K365" s="86"/>
      <c r="L365" s="101"/>
      <c r="M365" s="86"/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86"/>
      <c r="AI365" s="86"/>
      <c r="AJ365" s="86"/>
      <c r="AK365" s="86"/>
      <c r="AL365" s="86"/>
      <c r="AM365" s="95"/>
      <c r="AN365" s="86"/>
    </row>
    <row r="366" spans="1:40" ht="45" customHeight="1" x14ac:dyDescent="0.25">
      <c r="A366" s="86"/>
      <c r="B366" s="86"/>
      <c r="C366" s="86"/>
      <c r="D366" s="86"/>
      <c r="E366" s="86"/>
      <c r="F366" s="86"/>
      <c r="G366" s="86"/>
      <c r="H366" s="86"/>
      <c r="I366" s="86"/>
      <c r="J366" s="86"/>
      <c r="K366" s="86"/>
      <c r="L366" s="101"/>
      <c r="M366" s="86"/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  <c r="AH366" s="86"/>
      <c r="AI366" s="86"/>
      <c r="AJ366" s="86"/>
      <c r="AK366" s="86"/>
      <c r="AL366" s="86"/>
      <c r="AM366" s="95"/>
      <c r="AN366" s="86"/>
    </row>
    <row r="367" spans="1:40" ht="45" customHeight="1" x14ac:dyDescent="0.25">
      <c r="A367" s="86"/>
      <c r="B367" s="86"/>
      <c r="C367" s="86"/>
      <c r="D367" s="86"/>
      <c r="E367" s="86"/>
      <c r="F367" s="86"/>
      <c r="G367" s="86"/>
      <c r="H367" s="86"/>
      <c r="I367" s="86"/>
      <c r="J367" s="86"/>
      <c r="K367" s="86"/>
      <c r="L367" s="101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  <c r="AH367" s="86"/>
      <c r="AI367" s="86"/>
      <c r="AJ367" s="86"/>
      <c r="AK367" s="86"/>
      <c r="AL367" s="86"/>
      <c r="AM367" s="95"/>
      <c r="AN367" s="86"/>
    </row>
    <row r="368" spans="1:40" ht="45" customHeight="1" x14ac:dyDescent="0.25">
      <c r="A368" s="86"/>
      <c r="B368" s="86"/>
      <c r="C368" s="86"/>
      <c r="D368" s="86"/>
      <c r="E368" s="86"/>
      <c r="F368" s="86"/>
      <c r="G368" s="86"/>
      <c r="H368" s="86"/>
      <c r="I368" s="86"/>
      <c r="J368" s="86"/>
      <c r="K368" s="86"/>
      <c r="L368" s="101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  <c r="AH368" s="86"/>
      <c r="AI368" s="86"/>
      <c r="AJ368" s="86"/>
      <c r="AK368" s="86"/>
      <c r="AL368" s="86"/>
      <c r="AM368" s="95"/>
      <c r="AN368" s="86"/>
    </row>
    <row r="369" spans="1:40" ht="45" customHeight="1" x14ac:dyDescent="0.25">
      <c r="A369" s="86"/>
      <c r="B369" s="86"/>
      <c r="C369" s="86"/>
      <c r="D369" s="86"/>
      <c r="E369" s="86"/>
      <c r="F369" s="86"/>
      <c r="G369" s="86"/>
      <c r="H369" s="86"/>
      <c r="I369" s="86"/>
      <c r="J369" s="86"/>
      <c r="K369" s="86"/>
      <c r="L369" s="101"/>
      <c r="M369" s="86"/>
      <c r="N369" s="86"/>
      <c r="O369" s="86"/>
      <c r="P369" s="86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  <c r="AH369" s="86"/>
      <c r="AI369" s="86"/>
      <c r="AJ369" s="86"/>
      <c r="AK369" s="86"/>
      <c r="AL369" s="86"/>
      <c r="AM369" s="95"/>
      <c r="AN369" s="86"/>
    </row>
    <row r="370" spans="1:40" ht="45" customHeight="1" x14ac:dyDescent="0.25">
      <c r="A370" s="86"/>
      <c r="B370" s="86"/>
      <c r="C370" s="86"/>
      <c r="D370" s="86"/>
      <c r="E370" s="86"/>
      <c r="F370" s="86"/>
      <c r="G370" s="86"/>
      <c r="H370" s="86"/>
      <c r="I370" s="86"/>
      <c r="J370" s="86"/>
      <c r="K370" s="86"/>
      <c r="L370" s="101"/>
      <c r="M370" s="86"/>
      <c r="N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  <c r="AH370" s="86"/>
      <c r="AI370" s="86"/>
      <c r="AJ370" s="86"/>
      <c r="AK370" s="86"/>
      <c r="AL370" s="86"/>
      <c r="AM370" s="95"/>
      <c r="AN370" s="86"/>
    </row>
    <row r="371" spans="1:40" ht="45" customHeight="1" x14ac:dyDescent="0.25">
      <c r="A371" s="86"/>
      <c r="B371" s="86"/>
      <c r="C371" s="86"/>
      <c r="D371" s="86"/>
      <c r="E371" s="86"/>
      <c r="F371" s="86"/>
      <c r="G371" s="86"/>
      <c r="H371" s="86"/>
      <c r="I371" s="86"/>
      <c r="J371" s="86"/>
      <c r="K371" s="86"/>
      <c r="L371" s="101"/>
      <c r="M371" s="86"/>
      <c r="N371" s="86"/>
      <c r="O371" s="86"/>
      <c r="P371" s="86"/>
      <c r="Q371" s="86"/>
      <c r="R371" s="86"/>
      <c r="S371" s="86"/>
      <c r="T371" s="86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  <c r="AH371" s="86"/>
      <c r="AI371" s="86"/>
      <c r="AJ371" s="86"/>
      <c r="AK371" s="86"/>
      <c r="AL371" s="86"/>
      <c r="AM371" s="95"/>
      <c r="AN371" s="86"/>
    </row>
    <row r="372" spans="1:40" ht="45" customHeight="1" x14ac:dyDescent="0.25">
      <c r="A372" s="86"/>
      <c r="B372" s="86"/>
      <c r="C372" s="86"/>
      <c r="D372" s="86"/>
      <c r="E372" s="86"/>
      <c r="F372" s="86"/>
      <c r="G372" s="86"/>
      <c r="H372" s="86"/>
      <c r="I372" s="86"/>
      <c r="J372" s="86"/>
      <c r="K372" s="86"/>
      <c r="L372" s="101"/>
      <c r="M372" s="86"/>
      <c r="N372" s="86"/>
      <c r="O372" s="86"/>
      <c r="P372" s="86"/>
      <c r="Q372" s="86"/>
      <c r="R372" s="86"/>
      <c r="S372" s="86"/>
      <c r="T372" s="86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  <c r="AH372" s="86"/>
      <c r="AI372" s="86"/>
      <c r="AJ372" s="86"/>
      <c r="AK372" s="86"/>
      <c r="AL372" s="86"/>
      <c r="AM372" s="95"/>
      <c r="AN372" s="86"/>
    </row>
    <row r="373" spans="1:40" ht="45" customHeight="1" x14ac:dyDescent="0.25">
      <c r="A373" s="86"/>
      <c r="B373" s="86"/>
      <c r="C373" s="86"/>
      <c r="D373" s="86"/>
      <c r="E373" s="86"/>
      <c r="F373" s="86"/>
      <c r="G373" s="86"/>
      <c r="H373" s="86"/>
      <c r="I373" s="86"/>
      <c r="J373" s="86"/>
      <c r="K373" s="86"/>
      <c r="L373" s="101"/>
      <c r="M373" s="86"/>
      <c r="N373" s="86"/>
      <c r="O373" s="86"/>
      <c r="P373" s="86"/>
      <c r="Q373" s="86"/>
      <c r="R373" s="86"/>
      <c r="S373" s="86"/>
      <c r="T373" s="86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  <c r="AH373" s="86"/>
      <c r="AI373" s="86"/>
      <c r="AJ373" s="86"/>
      <c r="AK373" s="86"/>
      <c r="AL373" s="86"/>
      <c r="AM373" s="95"/>
      <c r="AN373" s="86"/>
    </row>
    <row r="374" spans="1:40" ht="45" customHeight="1" x14ac:dyDescent="0.25">
      <c r="A374" s="86"/>
      <c r="B374" s="86"/>
      <c r="C374" s="86"/>
      <c r="D374" s="86"/>
      <c r="E374" s="86"/>
      <c r="F374" s="86"/>
      <c r="G374" s="86"/>
      <c r="H374" s="86"/>
      <c r="I374" s="86"/>
      <c r="J374" s="86"/>
      <c r="K374" s="86"/>
      <c r="L374" s="101"/>
      <c r="M374" s="86"/>
      <c r="N374" s="86"/>
      <c r="O374" s="86"/>
      <c r="P374" s="86"/>
      <c r="Q374" s="86"/>
      <c r="R374" s="86"/>
      <c r="S374" s="86"/>
      <c r="T374" s="86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  <c r="AH374" s="86"/>
      <c r="AI374" s="86"/>
      <c r="AJ374" s="86"/>
      <c r="AK374" s="86"/>
      <c r="AL374" s="86"/>
      <c r="AM374" s="95"/>
      <c r="AN374" s="86"/>
    </row>
    <row r="375" spans="1:40" ht="45" customHeight="1" x14ac:dyDescent="0.25">
      <c r="A375" s="86"/>
      <c r="B375" s="86"/>
      <c r="C375" s="86"/>
      <c r="D375" s="86"/>
      <c r="E375" s="86"/>
      <c r="F375" s="86"/>
      <c r="G375" s="86"/>
      <c r="H375" s="86"/>
      <c r="I375" s="86"/>
      <c r="J375" s="86"/>
      <c r="K375" s="86"/>
      <c r="L375" s="101"/>
      <c r="M375" s="86"/>
      <c r="N375" s="86"/>
      <c r="O375" s="86"/>
      <c r="P375" s="86"/>
      <c r="Q375" s="86"/>
      <c r="R375" s="86"/>
      <c r="S375" s="86"/>
      <c r="T375" s="86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  <c r="AH375" s="86"/>
      <c r="AI375" s="86"/>
      <c r="AJ375" s="86"/>
      <c r="AK375" s="86"/>
      <c r="AL375" s="86"/>
      <c r="AM375" s="95"/>
      <c r="AN375" s="86"/>
    </row>
    <row r="376" spans="1:40" ht="45" customHeight="1" x14ac:dyDescent="0.25">
      <c r="A376" s="86"/>
      <c r="B376" s="86"/>
      <c r="C376" s="86"/>
      <c r="D376" s="86"/>
      <c r="E376" s="86"/>
      <c r="F376" s="86"/>
      <c r="G376" s="86"/>
      <c r="H376" s="86"/>
      <c r="I376" s="86"/>
      <c r="J376" s="86"/>
      <c r="K376" s="86"/>
      <c r="L376" s="101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  <c r="AH376" s="86"/>
      <c r="AI376" s="86"/>
      <c r="AJ376" s="86"/>
      <c r="AK376" s="86"/>
      <c r="AL376" s="86"/>
      <c r="AM376" s="95"/>
      <c r="AN376" s="86"/>
    </row>
    <row r="377" spans="1:40" ht="45" customHeight="1" x14ac:dyDescent="0.25">
      <c r="A377" s="86"/>
      <c r="B377" s="86"/>
      <c r="C377" s="86"/>
      <c r="D377" s="86"/>
      <c r="E377" s="86"/>
      <c r="F377" s="86"/>
      <c r="G377" s="86"/>
      <c r="H377" s="86"/>
      <c r="I377" s="86"/>
      <c r="J377" s="86"/>
      <c r="K377" s="86"/>
      <c r="L377" s="101"/>
      <c r="M377" s="86"/>
      <c r="N377" s="86"/>
      <c r="O377" s="86"/>
      <c r="P377" s="86"/>
      <c r="Q377" s="86"/>
      <c r="R377" s="86"/>
      <c r="S377" s="86"/>
      <c r="T377" s="86"/>
      <c r="U377" s="8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  <c r="AH377" s="86"/>
      <c r="AI377" s="86"/>
      <c r="AJ377" s="86"/>
      <c r="AK377" s="86"/>
      <c r="AL377" s="86"/>
      <c r="AM377" s="95"/>
      <c r="AN377" s="86"/>
    </row>
    <row r="378" spans="1:40" ht="45" customHeight="1" x14ac:dyDescent="0.25">
      <c r="A378" s="86"/>
      <c r="B378" s="86"/>
      <c r="C378" s="86"/>
      <c r="D378" s="86"/>
      <c r="E378" s="86"/>
      <c r="F378" s="86"/>
      <c r="G378" s="86"/>
      <c r="H378" s="86"/>
      <c r="I378" s="86"/>
      <c r="J378" s="86"/>
      <c r="K378" s="86"/>
      <c r="L378" s="101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  <c r="AH378" s="86"/>
      <c r="AI378" s="86"/>
      <c r="AJ378" s="86"/>
      <c r="AK378" s="86"/>
      <c r="AL378" s="86"/>
      <c r="AM378" s="95"/>
      <c r="AN378" s="86"/>
    </row>
    <row r="379" spans="1:40" ht="45" customHeight="1" x14ac:dyDescent="0.25">
      <c r="A379" s="86"/>
      <c r="B379" s="86"/>
      <c r="C379" s="86"/>
      <c r="D379" s="86"/>
      <c r="E379" s="86"/>
      <c r="F379" s="86"/>
      <c r="G379" s="86"/>
      <c r="H379" s="86"/>
      <c r="I379" s="86"/>
      <c r="J379" s="86"/>
      <c r="K379" s="86"/>
      <c r="L379" s="101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  <c r="AH379" s="86"/>
      <c r="AI379" s="86"/>
      <c r="AJ379" s="86"/>
      <c r="AK379" s="86"/>
      <c r="AL379" s="86"/>
      <c r="AM379" s="95"/>
      <c r="AN379" s="86"/>
    </row>
    <row r="380" spans="1:40" ht="45" customHeight="1" x14ac:dyDescent="0.25">
      <c r="A380" s="86"/>
      <c r="B380" s="86"/>
      <c r="C380" s="86"/>
      <c r="D380" s="86"/>
      <c r="E380" s="86"/>
      <c r="F380" s="86"/>
      <c r="G380" s="86"/>
      <c r="H380" s="86"/>
      <c r="I380" s="86"/>
      <c r="J380" s="86"/>
      <c r="K380" s="86"/>
      <c r="L380" s="101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  <c r="AH380" s="86"/>
      <c r="AI380" s="86"/>
      <c r="AJ380" s="86"/>
      <c r="AK380" s="86"/>
      <c r="AL380" s="86"/>
      <c r="AM380" s="95"/>
      <c r="AN380" s="86"/>
    </row>
    <row r="381" spans="1:40" ht="45" customHeight="1" x14ac:dyDescent="0.25">
      <c r="A381" s="86"/>
      <c r="B381" s="86"/>
      <c r="C381" s="86"/>
      <c r="D381" s="86"/>
      <c r="E381" s="86"/>
      <c r="F381" s="86"/>
      <c r="G381" s="86"/>
      <c r="H381" s="86"/>
      <c r="I381" s="86"/>
      <c r="J381" s="86"/>
      <c r="K381" s="86"/>
      <c r="L381" s="101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  <c r="AH381" s="86"/>
      <c r="AI381" s="86"/>
      <c r="AJ381" s="86"/>
      <c r="AK381" s="86"/>
      <c r="AL381" s="86"/>
      <c r="AM381" s="95"/>
      <c r="AN381" s="86"/>
    </row>
    <row r="382" spans="1:40" ht="45" customHeight="1" x14ac:dyDescent="0.25">
      <c r="A382" s="86"/>
      <c r="B382" s="86"/>
      <c r="C382" s="86"/>
      <c r="D382" s="86"/>
      <c r="E382" s="86"/>
      <c r="F382" s="86"/>
      <c r="G382" s="86"/>
      <c r="H382" s="86"/>
      <c r="I382" s="86"/>
      <c r="J382" s="86"/>
      <c r="K382" s="86"/>
      <c r="L382" s="101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  <c r="AH382" s="86"/>
      <c r="AI382" s="86"/>
      <c r="AJ382" s="86"/>
      <c r="AK382" s="86"/>
      <c r="AL382" s="86"/>
      <c r="AM382" s="95"/>
      <c r="AN382" s="86"/>
    </row>
    <row r="383" spans="1:40" ht="45" customHeight="1" x14ac:dyDescent="0.25">
      <c r="A383" s="86"/>
      <c r="B383" s="86"/>
      <c r="C383" s="86"/>
      <c r="D383" s="86"/>
      <c r="E383" s="86"/>
      <c r="F383" s="86"/>
      <c r="G383" s="86"/>
      <c r="H383" s="86"/>
      <c r="I383" s="86"/>
      <c r="J383" s="86"/>
      <c r="K383" s="86"/>
      <c r="L383" s="101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86"/>
      <c r="AI383" s="86"/>
      <c r="AJ383" s="86"/>
      <c r="AK383" s="86"/>
      <c r="AL383" s="86"/>
      <c r="AM383" s="95"/>
      <c r="AN383" s="86"/>
    </row>
    <row r="384" spans="1:40" ht="45" customHeight="1" x14ac:dyDescent="0.25">
      <c r="A384" s="86"/>
      <c r="B384" s="86"/>
      <c r="C384" s="86"/>
      <c r="D384" s="86"/>
      <c r="E384" s="86"/>
      <c r="F384" s="86"/>
      <c r="G384" s="86"/>
      <c r="H384" s="86"/>
      <c r="I384" s="86"/>
      <c r="J384" s="86"/>
      <c r="K384" s="86"/>
      <c r="L384" s="101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86"/>
      <c r="AI384" s="86"/>
      <c r="AJ384" s="86"/>
      <c r="AK384" s="86"/>
      <c r="AL384" s="86"/>
      <c r="AM384" s="95"/>
      <c r="AN384" s="86"/>
    </row>
    <row r="385" spans="1:40" ht="45" customHeight="1" x14ac:dyDescent="0.25">
      <c r="A385" s="86"/>
      <c r="B385" s="86"/>
      <c r="C385" s="86"/>
      <c r="D385" s="86"/>
      <c r="E385" s="86"/>
      <c r="F385" s="86"/>
      <c r="G385" s="86"/>
      <c r="H385" s="86"/>
      <c r="I385" s="86"/>
      <c r="J385" s="86"/>
      <c r="K385" s="86"/>
      <c r="L385" s="101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  <c r="AH385" s="86"/>
      <c r="AI385" s="86"/>
      <c r="AJ385" s="86"/>
      <c r="AK385" s="86"/>
      <c r="AL385" s="86"/>
      <c r="AM385" s="95"/>
      <c r="AN385" s="86"/>
    </row>
    <row r="386" spans="1:40" ht="45" customHeight="1" x14ac:dyDescent="0.25">
      <c r="A386" s="86"/>
      <c r="B386" s="86"/>
      <c r="C386" s="86"/>
      <c r="D386" s="86"/>
      <c r="E386" s="86"/>
      <c r="F386" s="86"/>
      <c r="G386" s="86"/>
      <c r="H386" s="86"/>
      <c r="I386" s="86"/>
      <c r="J386" s="86"/>
      <c r="K386" s="86"/>
      <c r="L386" s="101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  <c r="AH386" s="86"/>
      <c r="AI386" s="86"/>
      <c r="AJ386" s="86"/>
      <c r="AK386" s="86"/>
      <c r="AL386" s="86"/>
      <c r="AM386" s="95"/>
      <c r="AN386" s="86"/>
    </row>
    <row r="387" spans="1:40" ht="45" customHeight="1" x14ac:dyDescent="0.25">
      <c r="A387" s="86"/>
      <c r="B387" s="86"/>
      <c r="C387" s="86"/>
      <c r="D387" s="86"/>
      <c r="E387" s="86"/>
      <c r="F387" s="86"/>
      <c r="G387" s="86"/>
      <c r="H387" s="86"/>
      <c r="I387" s="86"/>
      <c r="J387" s="86"/>
      <c r="K387" s="86"/>
      <c r="L387" s="101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  <c r="AH387" s="86"/>
      <c r="AI387" s="86"/>
      <c r="AJ387" s="86"/>
      <c r="AK387" s="86"/>
      <c r="AL387" s="86"/>
      <c r="AM387" s="95"/>
      <c r="AN387" s="86"/>
    </row>
    <row r="388" spans="1:40" ht="45" customHeight="1" x14ac:dyDescent="0.25">
      <c r="A388" s="86"/>
      <c r="B388" s="86"/>
      <c r="C388" s="86"/>
      <c r="D388" s="86"/>
      <c r="E388" s="86"/>
      <c r="F388" s="86"/>
      <c r="G388" s="86"/>
      <c r="H388" s="86"/>
      <c r="I388" s="86"/>
      <c r="J388" s="86"/>
      <c r="K388" s="86"/>
      <c r="L388" s="101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  <c r="AH388" s="86"/>
      <c r="AI388" s="86"/>
      <c r="AJ388" s="86"/>
      <c r="AK388" s="86"/>
      <c r="AL388" s="86"/>
      <c r="AM388" s="95"/>
      <c r="AN388" s="86"/>
    </row>
    <row r="389" spans="1:40" ht="45" customHeight="1" x14ac:dyDescent="0.25">
      <c r="A389" s="86"/>
      <c r="B389" s="86"/>
      <c r="C389" s="86"/>
      <c r="D389" s="86"/>
      <c r="E389" s="86"/>
      <c r="F389" s="86"/>
      <c r="G389" s="86"/>
      <c r="H389" s="86"/>
      <c r="I389" s="86"/>
      <c r="J389" s="86"/>
      <c r="K389" s="86"/>
      <c r="L389" s="101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  <c r="AH389" s="86"/>
      <c r="AI389" s="86"/>
      <c r="AJ389" s="86"/>
      <c r="AK389" s="86"/>
      <c r="AL389" s="86"/>
      <c r="AM389" s="95"/>
      <c r="AN389" s="86"/>
    </row>
    <row r="390" spans="1:40" ht="45" customHeight="1" x14ac:dyDescent="0.25">
      <c r="A390" s="86"/>
      <c r="B390" s="86"/>
      <c r="C390" s="86"/>
      <c r="D390" s="86"/>
      <c r="E390" s="86"/>
      <c r="F390" s="86"/>
      <c r="G390" s="86"/>
      <c r="H390" s="86"/>
      <c r="I390" s="86"/>
      <c r="J390" s="86"/>
      <c r="K390" s="86"/>
      <c r="L390" s="101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  <c r="AH390" s="86"/>
      <c r="AI390" s="86"/>
      <c r="AJ390" s="86"/>
      <c r="AK390" s="86"/>
      <c r="AL390" s="86"/>
      <c r="AM390" s="95"/>
      <c r="AN390" s="86"/>
    </row>
    <row r="391" spans="1:40" ht="45" customHeight="1" x14ac:dyDescent="0.25">
      <c r="A391" s="86"/>
      <c r="B391" s="86"/>
      <c r="C391" s="86"/>
      <c r="D391" s="86"/>
      <c r="E391" s="86"/>
      <c r="F391" s="86"/>
      <c r="G391" s="86"/>
      <c r="H391" s="86"/>
      <c r="I391" s="86"/>
      <c r="J391" s="86"/>
      <c r="K391" s="86"/>
      <c r="L391" s="101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  <c r="AH391" s="86"/>
      <c r="AI391" s="86"/>
      <c r="AJ391" s="86"/>
      <c r="AK391" s="86"/>
      <c r="AL391" s="86"/>
      <c r="AM391" s="95"/>
      <c r="AN391" s="86"/>
    </row>
    <row r="392" spans="1:40" ht="45" customHeight="1" x14ac:dyDescent="0.25">
      <c r="A392" s="86"/>
      <c r="B392" s="86"/>
      <c r="C392" s="86"/>
      <c r="D392" s="86"/>
      <c r="E392" s="86"/>
      <c r="F392" s="86"/>
      <c r="G392" s="86"/>
      <c r="H392" s="86"/>
      <c r="I392" s="86"/>
      <c r="J392" s="86"/>
      <c r="K392" s="86"/>
      <c r="L392" s="101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  <c r="AH392" s="86"/>
      <c r="AI392" s="86"/>
      <c r="AJ392" s="86"/>
      <c r="AK392" s="86"/>
      <c r="AL392" s="86"/>
      <c r="AM392" s="95"/>
      <c r="AN392" s="86"/>
    </row>
    <row r="393" spans="1:40" ht="45" customHeight="1" x14ac:dyDescent="0.25">
      <c r="A393" s="86"/>
      <c r="B393" s="86"/>
      <c r="C393" s="86"/>
      <c r="D393" s="86"/>
      <c r="E393" s="86"/>
      <c r="F393" s="86"/>
      <c r="G393" s="86"/>
      <c r="H393" s="86"/>
      <c r="I393" s="86"/>
      <c r="J393" s="86"/>
      <c r="K393" s="86"/>
      <c r="L393" s="101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  <c r="AH393" s="86"/>
      <c r="AI393" s="86"/>
      <c r="AJ393" s="86"/>
      <c r="AK393" s="86"/>
      <c r="AL393" s="86"/>
      <c r="AM393" s="95"/>
      <c r="AN393" s="86"/>
    </row>
    <row r="394" spans="1:40" ht="45" customHeight="1" x14ac:dyDescent="0.25">
      <c r="A394" s="86"/>
      <c r="B394" s="86"/>
      <c r="C394" s="86"/>
      <c r="D394" s="86"/>
      <c r="E394" s="86"/>
      <c r="F394" s="86"/>
      <c r="G394" s="86"/>
      <c r="H394" s="86"/>
      <c r="I394" s="86"/>
      <c r="J394" s="86"/>
      <c r="K394" s="86"/>
      <c r="L394" s="101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  <c r="AH394" s="86"/>
      <c r="AI394" s="86"/>
      <c r="AJ394" s="86"/>
      <c r="AK394" s="86"/>
      <c r="AL394" s="86"/>
      <c r="AM394" s="95"/>
      <c r="AN394" s="86"/>
    </row>
    <row r="395" spans="1:40" ht="45" customHeight="1" x14ac:dyDescent="0.25">
      <c r="A395" s="86"/>
      <c r="B395" s="86"/>
      <c r="C395" s="86"/>
      <c r="D395" s="86"/>
      <c r="E395" s="86"/>
      <c r="F395" s="86"/>
      <c r="G395" s="86"/>
      <c r="H395" s="86"/>
      <c r="I395" s="86"/>
      <c r="J395" s="86"/>
      <c r="K395" s="86"/>
      <c r="L395" s="101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  <c r="AH395" s="86"/>
      <c r="AI395" s="86"/>
      <c r="AJ395" s="86"/>
      <c r="AK395" s="86"/>
      <c r="AL395" s="86"/>
      <c r="AM395" s="95"/>
      <c r="AN395" s="86"/>
    </row>
    <row r="396" spans="1:40" ht="45" customHeight="1" x14ac:dyDescent="0.25">
      <c r="A396" s="86"/>
      <c r="B396" s="86"/>
      <c r="C396" s="86"/>
      <c r="D396" s="86"/>
      <c r="E396" s="86"/>
      <c r="F396" s="86"/>
      <c r="G396" s="86"/>
      <c r="H396" s="86"/>
      <c r="I396" s="86"/>
      <c r="J396" s="86"/>
      <c r="K396" s="86"/>
      <c r="L396" s="101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86"/>
      <c r="AI396" s="86"/>
      <c r="AJ396" s="86"/>
      <c r="AK396" s="86"/>
      <c r="AL396" s="86"/>
      <c r="AM396" s="95"/>
      <c r="AN396" s="86"/>
    </row>
    <row r="397" spans="1:40" ht="45" customHeight="1" x14ac:dyDescent="0.25">
      <c r="A397" s="86"/>
      <c r="B397" s="86"/>
      <c r="C397" s="86"/>
      <c r="D397" s="86"/>
      <c r="E397" s="86"/>
      <c r="F397" s="86"/>
      <c r="G397" s="86"/>
      <c r="H397" s="86"/>
      <c r="I397" s="86"/>
      <c r="J397" s="86"/>
      <c r="K397" s="86"/>
      <c r="L397" s="101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86"/>
      <c r="AI397" s="86"/>
      <c r="AJ397" s="86"/>
      <c r="AK397" s="86"/>
      <c r="AL397" s="86"/>
      <c r="AM397" s="95"/>
      <c r="AN397" s="86"/>
    </row>
    <row r="398" spans="1:40" ht="45" customHeight="1" x14ac:dyDescent="0.25">
      <c r="A398" s="86"/>
      <c r="B398" s="86"/>
      <c r="C398" s="86"/>
      <c r="D398" s="86"/>
      <c r="E398" s="86"/>
      <c r="F398" s="86"/>
      <c r="G398" s="86"/>
      <c r="H398" s="86"/>
      <c r="I398" s="86"/>
      <c r="J398" s="86"/>
      <c r="K398" s="86"/>
      <c r="L398" s="101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86"/>
      <c r="AI398" s="86"/>
      <c r="AJ398" s="86"/>
      <c r="AK398" s="86"/>
      <c r="AL398" s="86"/>
      <c r="AM398" s="95"/>
      <c r="AN398" s="86"/>
    </row>
    <row r="399" spans="1:40" ht="45" customHeight="1" x14ac:dyDescent="0.25">
      <c r="A399" s="86"/>
      <c r="B399" s="86"/>
      <c r="C399" s="86"/>
      <c r="D399" s="86"/>
      <c r="E399" s="86"/>
      <c r="F399" s="86"/>
      <c r="G399" s="86"/>
      <c r="H399" s="86"/>
      <c r="I399" s="86"/>
      <c r="J399" s="86"/>
      <c r="K399" s="86"/>
      <c r="L399" s="101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86"/>
      <c r="AI399" s="86"/>
      <c r="AJ399" s="86"/>
      <c r="AK399" s="86"/>
      <c r="AL399" s="86"/>
      <c r="AM399" s="95"/>
      <c r="AN399" s="86"/>
    </row>
    <row r="400" spans="1:40" ht="45" customHeight="1" x14ac:dyDescent="0.25">
      <c r="A400" s="86"/>
      <c r="B400" s="86"/>
      <c r="C400" s="86"/>
      <c r="D400" s="86"/>
      <c r="E400" s="86"/>
      <c r="F400" s="86"/>
      <c r="G400" s="86"/>
      <c r="H400" s="86"/>
      <c r="I400" s="86"/>
      <c r="J400" s="86"/>
      <c r="K400" s="86"/>
      <c r="L400" s="101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86"/>
      <c r="AI400" s="86"/>
      <c r="AJ400" s="86"/>
      <c r="AK400" s="86"/>
      <c r="AL400" s="86"/>
      <c r="AM400" s="95"/>
      <c r="AN400" s="86"/>
    </row>
    <row r="401" spans="1:40" ht="45" customHeight="1" x14ac:dyDescent="0.25">
      <c r="A401" s="86"/>
      <c r="B401" s="86"/>
      <c r="C401" s="86"/>
      <c r="D401" s="86"/>
      <c r="E401" s="86"/>
      <c r="F401" s="86"/>
      <c r="G401" s="86"/>
      <c r="H401" s="86"/>
      <c r="I401" s="86"/>
      <c r="J401" s="86"/>
      <c r="K401" s="86"/>
      <c r="L401" s="102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86"/>
      <c r="AI401" s="86"/>
      <c r="AJ401" s="86"/>
      <c r="AK401" s="86"/>
      <c r="AL401" s="86"/>
      <c r="AM401" s="95"/>
      <c r="AN401" s="86"/>
    </row>
    <row r="402" spans="1:40" ht="45" customHeight="1" x14ac:dyDescent="0.25">
      <c r="A402" s="86"/>
      <c r="B402" s="86"/>
      <c r="C402" s="86"/>
      <c r="D402" s="86"/>
      <c r="E402" s="86"/>
      <c r="F402" s="86"/>
      <c r="G402" s="86"/>
      <c r="H402" s="86"/>
      <c r="I402" s="86"/>
      <c r="J402" s="86"/>
      <c r="K402" s="86"/>
      <c r="L402" s="102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86"/>
      <c r="AI402" s="86"/>
      <c r="AJ402" s="86"/>
      <c r="AK402" s="86"/>
      <c r="AL402" s="86"/>
      <c r="AM402" s="95"/>
      <c r="AN402" s="86"/>
    </row>
    <row r="403" spans="1:40" ht="45" customHeight="1" x14ac:dyDescent="0.25">
      <c r="A403" s="86"/>
      <c r="B403" s="86"/>
      <c r="C403" s="86"/>
      <c r="D403" s="86"/>
      <c r="E403" s="86"/>
      <c r="F403" s="86"/>
      <c r="G403" s="86"/>
      <c r="H403" s="86"/>
      <c r="I403" s="86"/>
      <c r="J403" s="86"/>
      <c r="K403" s="86"/>
      <c r="L403" s="102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86"/>
      <c r="AI403" s="86"/>
      <c r="AJ403" s="86"/>
      <c r="AK403" s="86"/>
      <c r="AL403" s="86"/>
      <c r="AM403" s="95"/>
      <c r="AN403" s="86"/>
    </row>
    <row r="404" spans="1:40" ht="45" customHeight="1" x14ac:dyDescent="0.25">
      <c r="A404" s="86"/>
      <c r="B404" s="86"/>
      <c r="C404" s="86"/>
      <c r="D404" s="86"/>
      <c r="E404" s="86"/>
      <c r="F404" s="86"/>
      <c r="G404" s="86"/>
      <c r="H404" s="86"/>
      <c r="I404" s="86"/>
      <c r="J404" s="86"/>
      <c r="K404" s="86"/>
      <c r="L404" s="102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86"/>
      <c r="AI404" s="86"/>
      <c r="AJ404" s="86"/>
      <c r="AK404" s="86"/>
      <c r="AL404" s="86"/>
      <c r="AM404" s="95"/>
      <c r="AN404" s="86"/>
    </row>
    <row r="405" spans="1:40" ht="45" customHeight="1" x14ac:dyDescent="0.25">
      <c r="A405" s="86"/>
      <c r="B405" s="86"/>
      <c r="C405" s="86"/>
      <c r="D405" s="86"/>
      <c r="E405" s="86"/>
      <c r="F405" s="86"/>
      <c r="G405" s="86"/>
      <c r="H405" s="86"/>
      <c r="I405" s="86"/>
      <c r="J405" s="86"/>
      <c r="K405" s="86"/>
      <c r="L405" s="102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86"/>
      <c r="AI405" s="86"/>
      <c r="AJ405" s="86"/>
      <c r="AK405" s="86"/>
      <c r="AL405" s="86"/>
      <c r="AM405" s="95"/>
      <c r="AN405" s="86"/>
    </row>
    <row r="406" spans="1:40" ht="45" customHeight="1" x14ac:dyDescent="0.25">
      <c r="A406" s="86"/>
      <c r="B406" s="86"/>
      <c r="C406" s="86"/>
      <c r="D406" s="86"/>
      <c r="E406" s="86"/>
      <c r="F406" s="86"/>
      <c r="G406" s="86"/>
      <c r="H406" s="86"/>
      <c r="I406" s="86"/>
      <c r="J406" s="86"/>
      <c r="K406" s="86"/>
      <c r="L406" s="102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86"/>
      <c r="AI406" s="86"/>
      <c r="AJ406" s="86"/>
      <c r="AK406" s="86"/>
      <c r="AL406" s="86"/>
      <c r="AM406" s="95"/>
      <c r="AN406" s="86"/>
    </row>
    <row r="407" spans="1:40" ht="45" customHeight="1" x14ac:dyDescent="0.25">
      <c r="A407" s="86"/>
      <c r="B407" s="86"/>
      <c r="C407" s="86"/>
      <c r="D407" s="86"/>
      <c r="E407" s="86"/>
      <c r="F407" s="86"/>
      <c r="G407" s="86"/>
      <c r="H407" s="86"/>
      <c r="I407" s="86"/>
      <c r="J407" s="86"/>
      <c r="K407" s="86"/>
      <c r="L407" s="102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86"/>
      <c r="AI407" s="86"/>
      <c r="AJ407" s="86"/>
      <c r="AK407" s="86"/>
      <c r="AL407" s="86"/>
      <c r="AM407" s="95"/>
      <c r="AN407" s="86"/>
    </row>
    <row r="408" spans="1:40" ht="45" customHeight="1" x14ac:dyDescent="0.25">
      <c r="A408" s="86"/>
      <c r="B408" s="86"/>
      <c r="C408" s="86"/>
      <c r="D408" s="86"/>
      <c r="E408" s="86"/>
      <c r="F408" s="86"/>
      <c r="G408" s="86"/>
      <c r="H408" s="86"/>
      <c r="I408" s="86"/>
      <c r="J408" s="86"/>
      <c r="K408" s="86"/>
      <c r="L408" s="102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86"/>
      <c r="AI408" s="86"/>
      <c r="AJ408" s="86"/>
      <c r="AK408" s="86"/>
      <c r="AL408" s="86"/>
      <c r="AM408" s="95"/>
      <c r="AN408" s="86"/>
    </row>
    <row r="409" spans="1:40" ht="45" customHeight="1" x14ac:dyDescent="0.25">
      <c r="A409" s="86"/>
      <c r="B409" s="86"/>
      <c r="C409" s="86"/>
      <c r="D409" s="86"/>
      <c r="E409" s="86"/>
      <c r="F409" s="86"/>
      <c r="G409" s="86"/>
      <c r="H409" s="86"/>
      <c r="I409" s="86"/>
      <c r="J409" s="86"/>
      <c r="K409" s="86"/>
      <c r="L409" s="102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86"/>
      <c r="AI409" s="86"/>
      <c r="AJ409" s="86"/>
      <c r="AK409" s="86"/>
      <c r="AL409" s="86"/>
      <c r="AM409" s="95"/>
      <c r="AN409" s="86"/>
    </row>
    <row r="410" spans="1:40" ht="45" customHeight="1" x14ac:dyDescent="0.25">
      <c r="A410" s="86"/>
      <c r="B410" s="86"/>
      <c r="C410" s="86"/>
      <c r="D410" s="86"/>
      <c r="E410" s="86"/>
      <c r="F410" s="86"/>
      <c r="G410" s="86"/>
      <c r="H410" s="86"/>
      <c r="I410" s="86"/>
      <c r="J410" s="86"/>
      <c r="K410" s="86"/>
      <c r="L410" s="102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86"/>
      <c r="AI410" s="86"/>
      <c r="AJ410" s="86"/>
      <c r="AK410" s="86"/>
      <c r="AL410" s="86"/>
      <c r="AM410" s="95"/>
      <c r="AN410" s="86"/>
    </row>
    <row r="411" spans="1:40" ht="45" customHeight="1" x14ac:dyDescent="0.25">
      <c r="A411" s="86"/>
      <c r="B411" s="86"/>
      <c r="C411" s="86"/>
      <c r="D411" s="86"/>
      <c r="E411" s="86"/>
      <c r="F411" s="86"/>
      <c r="G411" s="86"/>
      <c r="H411" s="86"/>
      <c r="I411" s="86"/>
      <c r="J411" s="86"/>
      <c r="K411" s="86"/>
      <c r="L411" s="102"/>
      <c r="M411" s="86"/>
      <c r="N411" s="86"/>
      <c r="O411" s="86"/>
      <c r="P411" s="86"/>
      <c r="Q411" s="86"/>
      <c r="R411" s="86"/>
      <c r="S411" s="86"/>
      <c r="T411" s="86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  <c r="AH411" s="86"/>
      <c r="AI411" s="86"/>
      <c r="AJ411" s="86"/>
      <c r="AK411" s="86"/>
      <c r="AL411" s="86"/>
      <c r="AM411" s="95"/>
      <c r="AN411" s="86"/>
    </row>
    <row r="412" spans="1:40" ht="45" customHeight="1" x14ac:dyDescent="0.25">
      <c r="A412" s="86"/>
      <c r="B412" s="86"/>
      <c r="C412" s="86"/>
      <c r="D412" s="86"/>
      <c r="E412" s="86"/>
      <c r="F412" s="86"/>
      <c r="G412" s="86"/>
      <c r="H412" s="86"/>
      <c r="I412" s="86"/>
      <c r="J412" s="86"/>
      <c r="K412" s="86"/>
      <c r="L412" s="102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86"/>
      <c r="AI412" s="86"/>
      <c r="AJ412" s="86"/>
      <c r="AK412" s="86"/>
      <c r="AL412" s="86"/>
      <c r="AM412" s="95"/>
      <c r="AN412" s="86"/>
    </row>
    <row r="413" spans="1:40" ht="45" customHeight="1" x14ac:dyDescent="0.25">
      <c r="A413" s="86"/>
      <c r="B413" s="86"/>
      <c r="C413" s="86"/>
      <c r="D413" s="86"/>
      <c r="E413" s="86"/>
      <c r="F413" s="86"/>
      <c r="G413" s="86"/>
      <c r="H413" s="86"/>
      <c r="I413" s="86"/>
      <c r="J413" s="86"/>
      <c r="K413" s="86"/>
      <c r="L413" s="102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  <c r="AH413" s="86"/>
      <c r="AI413" s="86"/>
      <c r="AJ413" s="86"/>
      <c r="AK413" s="86"/>
      <c r="AL413" s="86"/>
      <c r="AM413" s="95"/>
      <c r="AN413" s="86"/>
    </row>
    <row r="414" spans="1:40" ht="45" customHeight="1" x14ac:dyDescent="0.25">
      <c r="A414" s="86"/>
      <c r="B414" s="86"/>
      <c r="C414" s="86"/>
      <c r="D414" s="86"/>
      <c r="E414" s="86"/>
      <c r="F414" s="86"/>
      <c r="G414" s="86"/>
      <c r="H414" s="86"/>
      <c r="I414" s="86"/>
      <c r="J414" s="86"/>
      <c r="K414" s="86"/>
      <c r="L414" s="102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  <c r="AH414" s="86"/>
      <c r="AI414" s="86"/>
      <c r="AJ414" s="86"/>
      <c r="AK414" s="86"/>
      <c r="AL414" s="86"/>
      <c r="AM414" s="95"/>
      <c r="AN414" s="86"/>
    </row>
    <row r="415" spans="1:40" ht="45" customHeight="1" x14ac:dyDescent="0.25">
      <c r="A415" s="86"/>
      <c r="B415" s="86"/>
      <c r="C415" s="86"/>
      <c r="D415" s="86"/>
      <c r="E415" s="86"/>
      <c r="F415" s="86"/>
      <c r="G415" s="86"/>
      <c r="H415" s="86"/>
      <c r="I415" s="86"/>
      <c r="J415" s="86"/>
      <c r="K415" s="86"/>
      <c r="L415" s="102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  <c r="AH415" s="86"/>
      <c r="AI415" s="86"/>
      <c r="AJ415" s="86"/>
      <c r="AK415" s="86"/>
      <c r="AL415" s="86"/>
      <c r="AM415" s="95"/>
      <c r="AN415" s="86"/>
    </row>
    <row r="416" spans="1:40" ht="45" customHeight="1" x14ac:dyDescent="0.25">
      <c r="A416" s="86"/>
      <c r="B416" s="86"/>
      <c r="C416" s="86"/>
      <c r="D416" s="86"/>
      <c r="E416" s="86"/>
      <c r="F416" s="86"/>
      <c r="G416" s="86"/>
      <c r="H416" s="86"/>
      <c r="I416" s="86"/>
      <c r="J416" s="86"/>
      <c r="K416" s="86"/>
      <c r="L416" s="102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  <c r="AH416" s="86"/>
      <c r="AI416" s="86"/>
      <c r="AJ416" s="86"/>
      <c r="AK416" s="86"/>
      <c r="AL416" s="86"/>
      <c r="AM416" s="95"/>
      <c r="AN416" s="86"/>
    </row>
    <row r="417" spans="1:40" ht="45" customHeight="1" x14ac:dyDescent="0.25">
      <c r="A417" s="86"/>
      <c r="B417" s="86"/>
      <c r="C417" s="86"/>
      <c r="D417" s="86"/>
      <c r="E417" s="86"/>
      <c r="F417" s="86"/>
      <c r="G417" s="86"/>
      <c r="H417" s="86"/>
      <c r="I417" s="86"/>
      <c r="J417" s="86"/>
      <c r="K417" s="86"/>
      <c r="L417" s="102"/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  <c r="AH417" s="86"/>
      <c r="AI417" s="86"/>
      <c r="AJ417" s="86"/>
      <c r="AK417" s="86"/>
      <c r="AL417" s="86"/>
      <c r="AM417" s="95"/>
      <c r="AN417" s="86"/>
    </row>
    <row r="418" spans="1:40" ht="45" customHeight="1" x14ac:dyDescent="0.25">
      <c r="A418" s="86"/>
      <c r="B418" s="86"/>
      <c r="C418" s="86"/>
      <c r="D418" s="86"/>
      <c r="E418" s="86"/>
      <c r="F418" s="86"/>
      <c r="G418" s="86"/>
      <c r="H418" s="86"/>
      <c r="I418" s="86"/>
      <c r="J418" s="86"/>
      <c r="K418" s="86"/>
      <c r="L418" s="102"/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  <c r="AH418" s="86"/>
      <c r="AI418" s="86"/>
      <c r="AJ418" s="86"/>
      <c r="AK418" s="86"/>
      <c r="AL418" s="86"/>
      <c r="AM418" s="95"/>
      <c r="AN418" s="86"/>
    </row>
    <row r="419" spans="1:40" ht="45" customHeight="1" x14ac:dyDescent="0.25">
      <c r="A419" s="86"/>
      <c r="B419" s="86"/>
      <c r="C419" s="86"/>
      <c r="D419" s="86"/>
      <c r="E419" s="86"/>
      <c r="F419" s="86"/>
      <c r="G419" s="86"/>
      <c r="H419" s="86"/>
      <c r="I419" s="86"/>
      <c r="J419" s="86"/>
      <c r="K419" s="86"/>
      <c r="L419" s="102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95"/>
      <c r="AN419" s="86"/>
    </row>
    <row r="420" spans="1:40" ht="45" customHeight="1" x14ac:dyDescent="0.25">
      <c r="A420" s="86"/>
      <c r="B420" s="86"/>
      <c r="C420" s="86"/>
      <c r="D420" s="86"/>
      <c r="E420" s="86"/>
      <c r="F420" s="86"/>
      <c r="G420" s="86"/>
      <c r="H420" s="86"/>
      <c r="I420" s="86"/>
      <c r="J420" s="86"/>
      <c r="K420" s="86"/>
      <c r="L420" s="102"/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  <c r="AH420" s="86"/>
      <c r="AI420" s="86"/>
      <c r="AJ420" s="86"/>
      <c r="AK420" s="86"/>
      <c r="AL420" s="86"/>
      <c r="AM420" s="95"/>
      <c r="AN420" s="86"/>
    </row>
    <row r="421" spans="1:40" ht="45" customHeight="1" x14ac:dyDescent="0.25">
      <c r="A421" s="86"/>
      <c r="B421" s="86"/>
      <c r="C421" s="86"/>
      <c r="D421" s="86"/>
      <c r="E421" s="86"/>
      <c r="F421" s="86"/>
      <c r="G421" s="86"/>
      <c r="H421" s="86"/>
      <c r="I421" s="86"/>
      <c r="J421" s="86"/>
      <c r="K421" s="86"/>
      <c r="L421" s="102"/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  <c r="AH421" s="86"/>
      <c r="AI421" s="86"/>
      <c r="AJ421" s="86"/>
      <c r="AK421" s="86"/>
      <c r="AL421" s="86"/>
      <c r="AM421" s="95"/>
      <c r="AN421" s="86"/>
    </row>
    <row r="422" spans="1:40" ht="45" customHeight="1" x14ac:dyDescent="0.25">
      <c r="A422" s="86"/>
      <c r="B422" s="86"/>
      <c r="C422" s="86"/>
      <c r="D422" s="86"/>
      <c r="E422" s="86"/>
      <c r="F422" s="86"/>
      <c r="G422" s="86"/>
      <c r="H422" s="86"/>
      <c r="I422" s="86"/>
      <c r="J422" s="86"/>
      <c r="K422" s="86"/>
      <c r="L422" s="102"/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  <c r="AH422" s="86"/>
      <c r="AI422" s="86"/>
      <c r="AJ422" s="86"/>
      <c r="AK422" s="86"/>
      <c r="AL422" s="86"/>
      <c r="AM422" s="95"/>
      <c r="AN422" s="86"/>
    </row>
    <row r="423" spans="1:40" ht="45" customHeight="1" x14ac:dyDescent="0.25">
      <c r="A423" s="86"/>
      <c r="B423" s="86"/>
      <c r="C423" s="86"/>
      <c r="D423" s="86"/>
      <c r="E423" s="86"/>
      <c r="F423" s="86"/>
      <c r="G423" s="86"/>
      <c r="H423" s="86"/>
      <c r="I423" s="86"/>
      <c r="J423" s="86"/>
      <c r="K423" s="86"/>
      <c r="L423" s="102"/>
      <c r="M423" s="86"/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  <c r="AH423" s="86"/>
      <c r="AI423" s="86"/>
      <c r="AJ423" s="86"/>
      <c r="AK423" s="86"/>
      <c r="AL423" s="86"/>
      <c r="AM423" s="95"/>
      <c r="AN423" s="86"/>
    </row>
    <row r="424" spans="1:40" ht="45" customHeight="1" x14ac:dyDescent="0.25">
      <c r="A424" s="86"/>
      <c r="B424" s="86"/>
      <c r="C424" s="86"/>
      <c r="D424" s="86"/>
      <c r="E424" s="86"/>
      <c r="F424" s="86"/>
      <c r="G424" s="86"/>
      <c r="H424" s="86"/>
      <c r="I424" s="86"/>
      <c r="J424" s="86"/>
      <c r="K424" s="86"/>
      <c r="L424" s="102"/>
      <c r="M424" s="86"/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86"/>
      <c r="AI424" s="86"/>
      <c r="AJ424" s="86"/>
      <c r="AK424" s="86"/>
      <c r="AL424" s="86"/>
      <c r="AM424" s="95"/>
      <c r="AN424" s="86"/>
    </row>
    <row r="425" spans="1:40" ht="45" customHeight="1" x14ac:dyDescent="0.25">
      <c r="A425" s="86"/>
      <c r="B425" s="86"/>
      <c r="C425" s="86"/>
      <c r="D425" s="86"/>
      <c r="E425" s="86"/>
      <c r="F425" s="86"/>
      <c r="G425" s="86"/>
      <c r="H425" s="86"/>
      <c r="I425" s="86"/>
      <c r="J425" s="86"/>
      <c r="K425" s="86"/>
      <c r="L425" s="102"/>
      <c r="M425" s="86"/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86"/>
      <c r="AI425" s="86"/>
      <c r="AJ425" s="86"/>
      <c r="AK425" s="86"/>
      <c r="AL425" s="86"/>
      <c r="AM425" s="95"/>
      <c r="AN425" s="86"/>
    </row>
    <row r="426" spans="1:40" ht="45" customHeight="1" x14ac:dyDescent="0.25">
      <c r="A426" s="86"/>
      <c r="B426" s="86"/>
      <c r="C426" s="86"/>
      <c r="D426" s="86"/>
      <c r="E426" s="86"/>
      <c r="F426" s="86"/>
      <c r="G426" s="86"/>
      <c r="H426" s="86"/>
      <c r="I426" s="86"/>
      <c r="J426" s="86"/>
      <c r="K426" s="86"/>
      <c r="L426" s="102"/>
      <c r="M426" s="86"/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86"/>
      <c r="AI426" s="86"/>
      <c r="AJ426" s="86"/>
      <c r="AK426" s="86"/>
      <c r="AL426" s="86"/>
      <c r="AM426" s="95"/>
      <c r="AN426" s="86"/>
    </row>
    <row r="427" spans="1:40" ht="45" customHeight="1" x14ac:dyDescent="0.25">
      <c r="A427" s="86"/>
      <c r="B427" s="86"/>
      <c r="C427" s="86"/>
      <c r="D427" s="86"/>
      <c r="E427" s="86"/>
      <c r="F427" s="86"/>
      <c r="G427" s="86"/>
      <c r="H427" s="86"/>
      <c r="I427" s="86"/>
      <c r="J427" s="86"/>
      <c r="K427" s="86"/>
      <c r="L427" s="102"/>
      <c r="M427" s="86"/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86"/>
      <c r="AI427" s="86"/>
      <c r="AJ427" s="86"/>
      <c r="AK427" s="86"/>
      <c r="AL427" s="86"/>
      <c r="AM427" s="95"/>
      <c r="AN427" s="86"/>
    </row>
    <row r="428" spans="1:40" ht="45" customHeight="1" x14ac:dyDescent="0.25">
      <c r="A428" s="86"/>
      <c r="B428" s="86"/>
      <c r="C428" s="86"/>
      <c r="D428" s="86"/>
      <c r="E428" s="86"/>
      <c r="F428" s="86"/>
      <c r="G428" s="86"/>
      <c r="H428" s="86"/>
      <c r="I428" s="86"/>
      <c r="J428" s="86"/>
      <c r="K428" s="86"/>
      <c r="L428" s="102"/>
      <c r="M428" s="86"/>
      <c r="N428" s="86"/>
      <c r="O428" s="86"/>
      <c r="P428" s="86"/>
      <c r="Q428" s="86"/>
      <c r="R428" s="86"/>
      <c r="S428" s="86"/>
      <c r="T428" s="86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  <c r="AH428" s="86"/>
      <c r="AI428" s="86"/>
      <c r="AJ428" s="86"/>
      <c r="AK428" s="86"/>
      <c r="AL428" s="86"/>
      <c r="AM428" s="95"/>
      <c r="AN428" s="86"/>
    </row>
    <row r="429" spans="1:40" ht="45" customHeight="1" x14ac:dyDescent="0.25">
      <c r="A429" s="86"/>
      <c r="B429" s="86"/>
      <c r="C429" s="86"/>
      <c r="D429" s="86"/>
      <c r="E429" s="86"/>
      <c r="F429" s="86"/>
      <c r="G429" s="86"/>
      <c r="H429" s="86"/>
      <c r="I429" s="86"/>
      <c r="J429" s="86"/>
      <c r="K429" s="86"/>
      <c r="L429" s="102"/>
      <c r="M429" s="86"/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86"/>
      <c r="AI429" s="86"/>
      <c r="AJ429" s="86"/>
      <c r="AK429" s="86"/>
      <c r="AL429" s="86"/>
      <c r="AM429" s="95"/>
      <c r="AN429" s="86"/>
    </row>
    <row r="430" spans="1:40" ht="45" customHeight="1" x14ac:dyDescent="0.25">
      <c r="A430" s="86"/>
      <c r="B430" s="86"/>
      <c r="C430" s="86"/>
      <c r="D430" s="86"/>
      <c r="E430" s="86"/>
      <c r="F430" s="86"/>
      <c r="G430" s="86"/>
      <c r="H430" s="86"/>
      <c r="I430" s="86"/>
      <c r="J430" s="86"/>
      <c r="K430" s="86"/>
      <c r="L430" s="102"/>
      <c r="M430" s="86"/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86"/>
      <c r="AI430" s="86"/>
      <c r="AJ430" s="86"/>
      <c r="AK430" s="86"/>
      <c r="AL430" s="86"/>
      <c r="AM430" s="95"/>
      <c r="AN430" s="86"/>
    </row>
    <row r="431" spans="1:40" ht="45" customHeight="1" x14ac:dyDescent="0.25">
      <c r="A431" s="86"/>
      <c r="B431" s="86"/>
      <c r="C431" s="86"/>
      <c r="D431" s="86"/>
      <c r="E431" s="86"/>
      <c r="F431" s="86"/>
      <c r="G431" s="86"/>
      <c r="H431" s="86"/>
      <c r="I431" s="86"/>
      <c r="J431" s="86"/>
      <c r="K431" s="86"/>
      <c r="L431" s="102"/>
      <c r="M431" s="86"/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86"/>
      <c r="AI431" s="86"/>
      <c r="AJ431" s="86"/>
      <c r="AK431" s="86"/>
      <c r="AL431" s="86"/>
      <c r="AM431" s="95"/>
      <c r="AN431" s="86"/>
    </row>
    <row r="432" spans="1:40" ht="45" customHeight="1" x14ac:dyDescent="0.25">
      <c r="A432" s="86"/>
      <c r="B432" s="86"/>
      <c r="C432" s="86"/>
      <c r="D432" s="86"/>
      <c r="E432" s="86"/>
      <c r="F432" s="86"/>
      <c r="G432" s="86"/>
      <c r="H432" s="86"/>
      <c r="I432" s="86"/>
      <c r="J432" s="86"/>
      <c r="K432" s="86"/>
      <c r="L432" s="102"/>
      <c r="M432" s="86"/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86"/>
      <c r="AI432" s="86"/>
      <c r="AJ432" s="86"/>
      <c r="AK432" s="86"/>
      <c r="AL432" s="86"/>
      <c r="AM432" s="95"/>
      <c r="AN432" s="86"/>
    </row>
    <row r="433" spans="1:40" ht="45" customHeight="1" x14ac:dyDescent="0.25">
      <c r="A433" s="86"/>
      <c r="B433" s="86"/>
      <c r="C433" s="86"/>
      <c r="D433" s="86"/>
      <c r="E433" s="86"/>
      <c r="F433" s="86"/>
      <c r="G433" s="86"/>
      <c r="H433" s="86"/>
      <c r="I433" s="86"/>
      <c r="J433" s="86"/>
      <c r="K433" s="86"/>
      <c r="L433" s="102"/>
      <c r="M433" s="86"/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86"/>
      <c r="AI433" s="86"/>
      <c r="AJ433" s="86"/>
      <c r="AK433" s="86"/>
      <c r="AL433" s="86"/>
      <c r="AM433" s="95"/>
      <c r="AN433" s="86"/>
    </row>
    <row r="434" spans="1:40" ht="45" customHeight="1" x14ac:dyDescent="0.25">
      <c r="A434" s="86"/>
      <c r="B434" s="86"/>
      <c r="C434" s="86"/>
      <c r="D434" s="86"/>
      <c r="E434" s="86"/>
      <c r="F434" s="86"/>
      <c r="G434" s="86"/>
      <c r="H434" s="86"/>
      <c r="I434" s="86"/>
      <c r="J434" s="86"/>
      <c r="K434" s="86"/>
      <c r="L434" s="102"/>
      <c r="M434" s="86"/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86"/>
      <c r="AI434" s="86"/>
      <c r="AJ434" s="86"/>
      <c r="AK434" s="86"/>
      <c r="AL434" s="86"/>
      <c r="AM434" s="95"/>
      <c r="AN434" s="86"/>
    </row>
    <row r="435" spans="1:40" ht="45" customHeight="1" x14ac:dyDescent="0.25">
      <c r="A435" s="86"/>
      <c r="B435" s="86"/>
      <c r="C435" s="86"/>
      <c r="D435" s="86"/>
      <c r="E435" s="86"/>
      <c r="F435" s="86"/>
      <c r="G435" s="86"/>
      <c r="H435" s="86"/>
      <c r="I435" s="86"/>
      <c r="J435" s="86"/>
      <c r="K435" s="86"/>
      <c r="L435" s="102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86"/>
      <c r="AI435" s="86"/>
      <c r="AJ435" s="86"/>
      <c r="AK435" s="86"/>
      <c r="AL435" s="86"/>
      <c r="AM435" s="95"/>
      <c r="AN435" s="86"/>
    </row>
    <row r="436" spans="1:40" ht="45" customHeight="1" x14ac:dyDescent="0.25">
      <c r="A436" s="86"/>
      <c r="B436" s="86"/>
      <c r="C436" s="86"/>
      <c r="D436" s="86"/>
      <c r="E436" s="86"/>
      <c r="F436" s="86"/>
      <c r="G436" s="86"/>
      <c r="H436" s="86"/>
      <c r="I436" s="86"/>
      <c r="J436" s="86"/>
      <c r="K436" s="86"/>
      <c r="L436" s="102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86"/>
      <c r="AI436" s="86"/>
      <c r="AJ436" s="86"/>
      <c r="AK436" s="86"/>
      <c r="AL436" s="86"/>
      <c r="AM436" s="95"/>
      <c r="AN436" s="86"/>
    </row>
    <row r="437" spans="1:40" ht="45" customHeight="1" x14ac:dyDescent="0.25">
      <c r="A437" s="86"/>
      <c r="B437" s="86"/>
      <c r="C437" s="86"/>
      <c r="D437" s="86"/>
      <c r="E437" s="86"/>
      <c r="F437" s="86"/>
      <c r="G437" s="86"/>
      <c r="H437" s="86"/>
      <c r="I437" s="86"/>
      <c r="J437" s="86"/>
      <c r="K437" s="86"/>
      <c r="L437" s="102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86"/>
      <c r="AI437" s="86"/>
      <c r="AJ437" s="86"/>
      <c r="AK437" s="86"/>
      <c r="AL437" s="86"/>
      <c r="AM437" s="95"/>
      <c r="AN437" s="86"/>
    </row>
    <row r="438" spans="1:40" ht="45" customHeight="1" x14ac:dyDescent="0.25">
      <c r="A438" s="86"/>
      <c r="B438" s="86"/>
      <c r="C438" s="86"/>
      <c r="D438" s="86"/>
      <c r="E438" s="86"/>
      <c r="F438" s="86"/>
      <c r="G438" s="86"/>
      <c r="H438" s="86"/>
      <c r="I438" s="86"/>
      <c r="J438" s="86"/>
      <c r="K438" s="86"/>
      <c r="L438" s="102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86"/>
      <c r="AI438" s="86"/>
      <c r="AJ438" s="86"/>
      <c r="AK438" s="86"/>
      <c r="AL438" s="86"/>
      <c r="AM438" s="95"/>
      <c r="AN438" s="86"/>
    </row>
    <row r="439" spans="1:40" ht="45" customHeight="1" x14ac:dyDescent="0.25">
      <c r="A439" s="86"/>
      <c r="B439" s="86"/>
      <c r="C439" s="86"/>
      <c r="D439" s="86"/>
      <c r="E439" s="86"/>
      <c r="F439" s="86"/>
      <c r="G439" s="86"/>
      <c r="H439" s="86"/>
      <c r="I439" s="86"/>
      <c r="J439" s="86"/>
      <c r="K439" s="86"/>
      <c r="L439" s="102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86"/>
      <c r="AI439" s="86"/>
      <c r="AJ439" s="86"/>
      <c r="AK439" s="86"/>
      <c r="AL439" s="86"/>
      <c r="AM439" s="95"/>
      <c r="AN439" s="86"/>
    </row>
    <row r="440" spans="1:40" ht="45" customHeight="1" x14ac:dyDescent="0.25">
      <c r="A440" s="86"/>
      <c r="B440" s="86"/>
      <c r="C440" s="86"/>
      <c r="D440" s="86"/>
      <c r="E440" s="86"/>
      <c r="F440" s="86"/>
      <c r="G440" s="86"/>
      <c r="H440" s="86"/>
      <c r="I440" s="86"/>
      <c r="J440" s="86"/>
      <c r="K440" s="86"/>
      <c r="L440" s="102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86"/>
      <c r="AI440" s="86"/>
      <c r="AJ440" s="86"/>
      <c r="AK440" s="86"/>
      <c r="AL440" s="86"/>
      <c r="AM440" s="95"/>
      <c r="AN440" s="86"/>
    </row>
    <row r="441" spans="1:40" ht="45" customHeight="1" x14ac:dyDescent="0.25">
      <c r="A441" s="86"/>
      <c r="B441" s="86"/>
      <c r="C441" s="86"/>
      <c r="D441" s="86"/>
      <c r="E441" s="86"/>
      <c r="F441" s="86"/>
      <c r="G441" s="86"/>
      <c r="H441" s="86"/>
      <c r="I441" s="86"/>
      <c r="J441" s="86"/>
      <c r="K441" s="86"/>
      <c r="L441" s="102"/>
      <c r="M441" s="86"/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86"/>
      <c r="AI441" s="86"/>
      <c r="AJ441" s="86"/>
      <c r="AK441" s="86"/>
      <c r="AL441" s="86"/>
      <c r="AM441" s="95"/>
      <c r="AN441" s="86"/>
    </row>
    <row r="442" spans="1:40" ht="45" customHeight="1" x14ac:dyDescent="0.25">
      <c r="A442" s="86"/>
      <c r="B442" s="86"/>
      <c r="C442" s="86"/>
      <c r="D442" s="86"/>
      <c r="E442" s="86"/>
      <c r="F442" s="86"/>
      <c r="G442" s="86"/>
      <c r="H442" s="86"/>
      <c r="I442" s="86"/>
      <c r="J442" s="86"/>
      <c r="K442" s="86"/>
      <c r="L442" s="102"/>
      <c r="M442" s="86"/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86"/>
      <c r="AI442" s="86"/>
      <c r="AJ442" s="86"/>
      <c r="AK442" s="86"/>
      <c r="AL442" s="86"/>
      <c r="AM442" s="95"/>
      <c r="AN442" s="86"/>
    </row>
    <row r="443" spans="1:40" ht="45" customHeight="1" x14ac:dyDescent="0.25">
      <c r="A443" s="86"/>
      <c r="B443" s="86"/>
      <c r="C443" s="86"/>
      <c r="D443" s="86"/>
      <c r="E443" s="86"/>
      <c r="F443" s="86"/>
      <c r="G443" s="86"/>
      <c r="H443" s="86"/>
      <c r="I443" s="86"/>
      <c r="J443" s="86"/>
      <c r="K443" s="86"/>
      <c r="L443" s="102"/>
      <c r="M443" s="86"/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86"/>
      <c r="AI443" s="86"/>
      <c r="AJ443" s="86"/>
      <c r="AK443" s="86"/>
      <c r="AL443" s="86"/>
      <c r="AM443" s="95"/>
      <c r="AN443" s="86"/>
    </row>
    <row r="444" spans="1:40" ht="45" customHeight="1" x14ac:dyDescent="0.25">
      <c r="A444" s="86"/>
      <c r="B444" s="86"/>
      <c r="C444" s="86"/>
      <c r="D444" s="86"/>
      <c r="E444" s="86"/>
      <c r="F444" s="86"/>
      <c r="G444" s="86"/>
      <c r="H444" s="86"/>
      <c r="I444" s="86"/>
      <c r="J444" s="86"/>
      <c r="K444" s="86"/>
      <c r="L444" s="102"/>
      <c r="M444" s="86"/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86"/>
      <c r="AI444" s="86"/>
      <c r="AJ444" s="86"/>
      <c r="AK444" s="86"/>
      <c r="AL444" s="86"/>
      <c r="AM444" s="95"/>
      <c r="AN444" s="86"/>
    </row>
    <row r="445" spans="1:40" ht="45" customHeight="1" x14ac:dyDescent="0.25">
      <c r="A445" s="86"/>
      <c r="B445" s="86"/>
      <c r="C445" s="86"/>
      <c r="D445" s="86"/>
      <c r="E445" s="86"/>
      <c r="F445" s="86"/>
      <c r="G445" s="86"/>
      <c r="H445" s="86"/>
      <c r="I445" s="86"/>
      <c r="J445" s="86"/>
      <c r="K445" s="86"/>
      <c r="L445" s="102"/>
      <c r="M445" s="86"/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  <c r="AH445" s="86"/>
      <c r="AI445" s="86"/>
      <c r="AJ445" s="86"/>
      <c r="AK445" s="86"/>
      <c r="AL445" s="86"/>
      <c r="AM445" s="95"/>
      <c r="AN445" s="86"/>
    </row>
    <row r="446" spans="1:40" ht="45" customHeight="1" x14ac:dyDescent="0.25">
      <c r="A446" s="86"/>
      <c r="B446" s="86"/>
      <c r="C446" s="86"/>
      <c r="D446" s="86"/>
      <c r="E446" s="86"/>
      <c r="F446" s="86"/>
      <c r="G446" s="86"/>
      <c r="H446" s="86"/>
      <c r="I446" s="86"/>
      <c r="J446" s="86"/>
      <c r="K446" s="86"/>
      <c r="L446" s="102"/>
      <c r="M446" s="86"/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86"/>
      <c r="AI446" s="86"/>
      <c r="AJ446" s="86"/>
      <c r="AK446" s="86"/>
      <c r="AL446" s="86"/>
      <c r="AM446" s="95"/>
      <c r="AN446" s="86"/>
    </row>
    <row r="447" spans="1:40" ht="45" customHeight="1" x14ac:dyDescent="0.25">
      <c r="A447" s="86"/>
      <c r="B447" s="86"/>
      <c r="C447" s="86"/>
      <c r="D447" s="86"/>
      <c r="E447" s="86"/>
      <c r="F447" s="86"/>
      <c r="G447" s="86"/>
      <c r="H447" s="86"/>
      <c r="I447" s="86"/>
      <c r="J447" s="86"/>
      <c r="K447" s="86"/>
      <c r="L447" s="102"/>
      <c r="M447" s="86"/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86"/>
      <c r="AI447" s="86"/>
      <c r="AJ447" s="86"/>
      <c r="AK447" s="86"/>
      <c r="AL447" s="86"/>
      <c r="AM447" s="95"/>
      <c r="AN447" s="86"/>
    </row>
    <row r="448" spans="1:40" ht="45" customHeight="1" x14ac:dyDescent="0.25">
      <c r="A448" s="86"/>
      <c r="B448" s="86"/>
      <c r="C448" s="86"/>
      <c r="D448" s="86"/>
      <c r="E448" s="86"/>
      <c r="F448" s="86"/>
      <c r="G448" s="86"/>
      <c r="H448" s="86"/>
      <c r="I448" s="86"/>
      <c r="J448" s="86"/>
      <c r="K448" s="86"/>
      <c r="L448" s="102"/>
      <c r="M448" s="86"/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86"/>
      <c r="AI448" s="86"/>
      <c r="AJ448" s="86"/>
      <c r="AK448" s="86"/>
      <c r="AL448" s="86"/>
      <c r="AM448" s="95"/>
      <c r="AN448" s="86"/>
    </row>
    <row r="449" spans="1:40" ht="45" customHeight="1" x14ac:dyDescent="0.25">
      <c r="A449" s="86"/>
      <c r="B449" s="86"/>
      <c r="C449" s="86"/>
      <c r="D449" s="86"/>
      <c r="E449" s="86"/>
      <c r="F449" s="86"/>
      <c r="G449" s="86"/>
      <c r="H449" s="86"/>
      <c r="I449" s="86"/>
      <c r="J449" s="86"/>
      <c r="K449" s="86"/>
      <c r="L449" s="102"/>
      <c r="M449" s="86"/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86"/>
      <c r="AI449" s="86"/>
      <c r="AJ449" s="86"/>
      <c r="AK449" s="86"/>
      <c r="AL449" s="86"/>
      <c r="AM449" s="95"/>
      <c r="AN449" s="86"/>
    </row>
    <row r="450" spans="1:40" ht="45" customHeight="1" x14ac:dyDescent="0.25">
      <c r="A450" s="86"/>
      <c r="B450" s="86"/>
      <c r="C450" s="86"/>
      <c r="D450" s="86"/>
      <c r="E450" s="86"/>
      <c r="F450" s="86"/>
      <c r="G450" s="86"/>
      <c r="H450" s="86"/>
      <c r="I450" s="86"/>
      <c r="J450" s="86"/>
      <c r="K450" s="86"/>
      <c r="L450" s="102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86"/>
      <c r="AI450" s="86"/>
      <c r="AJ450" s="86"/>
      <c r="AK450" s="86"/>
      <c r="AL450" s="86"/>
      <c r="AM450" s="95"/>
      <c r="AN450" s="86"/>
    </row>
    <row r="451" spans="1:40" ht="45" customHeight="1" x14ac:dyDescent="0.25">
      <c r="A451" s="86"/>
      <c r="B451" s="86"/>
      <c r="C451" s="86"/>
      <c r="D451" s="86"/>
      <c r="E451" s="86"/>
      <c r="F451" s="86"/>
      <c r="G451" s="86"/>
      <c r="H451" s="86"/>
      <c r="I451" s="86"/>
      <c r="J451" s="86"/>
      <c r="K451" s="86"/>
      <c r="L451" s="102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86"/>
      <c r="AI451" s="86"/>
      <c r="AJ451" s="86"/>
      <c r="AK451" s="86"/>
      <c r="AL451" s="86"/>
      <c r="AM451" s="95"/>
      <c r="AN451" s="86"/>
    </row>
    <row r="452" spans="1:40" ht="45" customHeight="1" x14ac:dyDescent="0.25">
      <c r="A452" s="86"/>
      <c r="B452" s="86"/>
      <c r="C452" s="86"/>
      <c r="D452" s="86"/>
      <c r="E452" s="86"/>
      <c r="F452" s="86"/>
      <c r="G452" s="86"/>
      <c r="H452" s="86"/>
      <c r="I452" s="86"/>
      <c r="J452" s="86"/>
      <c r="K452" s="86"/>
      <c r="L452" s="102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86"/>
      <c r="AI452" s="86"/>
      <c r="AJ452" s="86"/>
      <c r="AK452" s="86"/>
      <c r="AL452" s="86"/>
      <c r="AM452" s="95"/>
      <c r="AN452" s="86"/>
    </row>
    <row r="453" spans="1:40" ht="45" customHeight="1" x14ac:dyDescent="0.25">
      <c r="A453" s="86"/>
      <c r="B453" s="86"/>
      <c r="C453" s="86"/>
      <c r="D453" s="86"/>
      <c r="E453" s="86"/>
      <c r="F453" s="86"/>
      <c r="G453" s="86"/>
      <c r="H453" s="86"/>
      <c r="I453" s="86"/>
      <c r="J453" s="86"/>
      <c r="K453" s="86"/>
      <c r="L453" s="102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86"/>
      <c r="AI453" s="86"/>
      <c r="AJ453" s="86"/>
      <c r="AK453" s="86"/>
      <c r="AL453" s="86"/>
      <c r="AM453" s="95"/>
      <c r="AN453" s="86"/>
    </row>
    <row r="454" spans="1:40" ht="45" customHeight="1" x14ac:dyDescent="0.25">
      <c r="A454" s="86"/>
      <c r="B454" s="86"/>
      <c r="C454" s="86"/>
      <c r="D454" s="86"/>
      <c r="E454" s="86"/>
      <c r="F454" s="86"/>
      <c r="G454" s="86"/>
      <c r="H454" s="86"/>
      <c r="I454" s="86"/>
      <c r="J454" s="86"/>
      <c r="K454" s="86"/>
      <c r="L454" s="102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86"/>
      <c r="AI454" s="86"/>
      <c r="AJ454" s="86"/>
      <c r="AK454" s="86"/>
      <c r="AL454" s="86"/>
      <c r="AM454" s="95"/>
      <c r="AN454" s="86"/>
    </row>
    <row r="455" spans="1:40" ht="45" customHeight="1" x14ac:dyDescent="0.25">
      <c r="A455" s="86"/>
      <c r="B455" s="86"/>
      <c r="C455" s="86"/>
      <c r="D455" s="86"/>
      <c r="E455" s="86"/>
      <c r="F455" s="86"/>
      <c r="G455" s="86"/>
      <c r="H455" s="86"/>
      <c r="I455" s="86"/>
      <c r="J455" s="86"/>
      <c r="K455" s="86"/>
      <c r="L455" s="102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86"/>
      <c r="AI455" s="86"/>
      <c r="AJ455" s="86"/>
      <c r="AK455" s="86"/>
      <c r="AL455" s="86"/>
      <c r="AM455" s="95"/>
      <c r="AN455" s="86"/>
    </row>
    <row r="456" spans="1:40" ht="45" customHeight="1" x14ac:dyDescent="0.25">
      <c r="A456" s="86"/>
      <c r="B456" s="86"/>
      <c r="C456" s="86"/>
      <c r="D456" s="86"/>
      <c r="E456" s="86"/>
      <c r="F456" s="86"/>
      <c r="G456" s="86"/>
      <c r="H456" s="86"/>
      <c r="I456" s="86"/>
      <c r="J456" s="86"/>
      <c r="K456" s="86"/>
      <c r="L456" s="102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86"/>
      <c r="AI456" s="86"/>
      <c r="AJ456" s="86"/>
      <c r="AK456" s="86"/>
      <c r="AL456" s="86"/>
      <c r="AM456" s="95"/>
      <c r="AN456" s="86"/>
    </row>
    <row r="457" spans="1:40" ht="45" customHeight="1" x14ac:dyDescent="0.25">
      <c r="A457" s="86"/>
      <c r="B457" s="86"/>
      <c r="C457" s="86"/>
      <c r="D457" s="86"/>
      <c r="E457" s="86"/>
      <c r="F457" s="86"/>
      <c r="G457" s="86"/>
      <c r="H457" s="86"/>
      <c r="I457" s="86"/>
      <c r="J457" s="86"/>
      <c r="K457" s="86"/>
      <c r="L457" s="102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86"/>
      <c r="AI457" s="86"/>
      <c r="AJ457" s="86"/>
      <c r="AK457" s="86"/>
      <c r="AL457" s="86"/>
      <c r="AM457" s="95"/>
      <c r="AN457" s="86"/>
    </row>
    <row r="458" spans="1:40" ht="45" customHeight="1" x14ac:dyDescent="0.25">
      <c r="A458" s="86"/>
      <c r="B458" s="86"/>
      <c r="C458" s="86"/>
      <c r="D458" s="86"/>
      <c r="E458" s="86"/>
      <c r="F458" s="86"/>
      <c r="G458" s="86"/>
      <c r="H458" s="86"/>
      <c r="I458" s="86"/>
      <c r="J458" s="86"/>
      <c r="K458" s="86"/>
      <c r="L458" s="102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86"/>
      <c r="AI458" s="86"/>
      <c r="AJ458" s="86"/>
      <c r="AK458" s="86"/>
      <c r="AL458" s="86"/>
      <c r="AM458" s="95"/>
      <c r="AN458" s="86"/>
    </row>
    <row r="459" spans="1:40" ht="45" customHeight="1" x14ac:dyDescent="0.25">
      <c r="A459" s="86"/>
      <c r="B459" s="86"/>
      <c r="C459" s="86"/>
      <c r="D459" s="86"/>
      <c r="E459" s="86"/>
      <c r="F459" s="86"/>
      <c r="G459" s="86"/>
      <c r="H459" s="86"/>
      <c r="I459" s="86"/>
      <c r="J459" s="86"/>
      <c r="K459" s="86"/>
      <c r="L459" s="102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86"/>
      <c r="AI459" s="86"/>
      <c r="AJ459" s="86"/>
      <c r="AK459" s="86"/>
      <c r="AL459" s="86"/>
      <c r="AM459" s="95"/>
      <c r="AN459" s="86"/>
    </row>
    <row r="460" spans="1:40" ht="45" customHeight="1" x14ac:dyDescent="0.25">
      <c r="A460" s="86"/>
      <c r="B460" s="86"/>
      <c r="C460" s="86"/>
      <c r="D460" s="86"/>
      <c r="E460" s="86"/>
      <c r="F460" s="86"/>
      <c r="G460" s="86"/>
      <c r="H460" s="86"/>
      <c r="I460" s="86"/>
      <c r="J460" s="86"/>
      <c r="K460" s="86"/>
      <c r="L460" s="102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86"/>
      <c r="AI460" s="86"/>
      <c r="AJ460" s="86"/>
      <c r="AK460" s="86"/>
      <c r="AL460" s="86"/>
      <c r="AM460" s="95"/>
      <c r="AN460" s="86"/>
    </row>
    <row r="461" spans="1:40" ht="45" customHeight="1" x14ac:dyDescent="0.25">
      <c r="A461" s="86"/>
      <c r="B461" s="86"/>
      <c r="C461" s="86"/>
      <c r="D461" s="86"/>
      <c r="E461" s="86"/>
      <c r="F461" s="86"/>
      <c r="G461" s="86"/>
      <c r="H461" s="86"/>
      <c r="I461" s="86"/>
      <c r="J461" s="86"/>
      <c r="K461" s="86"/>
      <c r="L461" s="102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86"/>
      <c r="AI461" s="86"/>
      <c r="AJ461" s="86"/>
      <c r="AK461" s="86"/>
      <c r="AL461" s="86"/>
      <c r="AM461" s="95"/>
      <c r="AN461" s="86"/>
    </row>
    <row r="462" spans="1:40" ht="45" customHeight="1" x14ac:dyDescent="0.25">
      <c r="A462" s="86"/>
      <c r="B462" s="86"/>
      <c r="C462" s="86"/>
      <c r="D462" s="86"/>
      <c r="E462" s="86"/>
      <c r="F462" s="86"/>
      <c r="G462" s="86"/>
      <c r="H462" s="86"/>
      <c r="I462" s="86"/>
      <c r="J462" s="86"/>
      <c r="K462" s="86"/>
      <c r="L462" s="102"/>
      <c r="M462" s="86"/>
      <c r="N462" s="86"/>
      <c r="O462" s="86"/>
      <c r="P462" s="86"/>
      <c r="Q462" s="86"/>
      <c r="R462" s="86"/>
      <c r="S462" s="86"/>
      <c r="T462" s="86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  <c r="AH462" s="86"/>
      <c r="AI462" s="86"/>
      <c r="AJ462" s="86"/>
      <c r="AK462" s="86"/>
      <c r="AL462" s="86"/>
      <c r="AM462" s="95"/>
      <c r="AN462" s="86"/>
    </row>
    <row r="463" spans="1:40" ht="45" customHeight="1" x14ac:dyDescent="0.25">
      <c r="A463" s="86"/>
      <c r="B463" s="86"/>
      <c r="C463" s="86"/>
      <c r="D463" s="86"/>
      <c r="E463" s="86"/>
      <c r="F463" s="86"/>
      <c r="G463" s="86"/>
      <c r="H463" s="86"/>
      <c r="I463" s="86"/>
      <c r="J463" s="86"/>
      <c r="K463" s="86"/>
      <c r="L463" s="102"/>
      <c r="M463" s="86"/>
      <c r="N463" s="86"/>
      <c r="O463" s="86"/>
      <c r="P463" s="86"/>
      <c r="Q463" s="86"/>
      <c r="R463" s="86"/>
      <c r="S463" s="86"/>
      <c r="T463" s="86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  <c r="AH463" s="86"/>
      <c r="AI463" s="86"/>
      <c r="AJ463" s="86"/>
      <c r="AK463" s="86"/>
      <c r="AL463" s="86"/>
      <c r="AM463" s="95"/>
      <c r="AN463" s="86"/>
    </row>
    <row r="464" spans="1:40" ht="45" customHeight="1" x14ac:dyDescent="0.25">
      <c r="A464" s="86"/>
      <c r="B464" s="86"/>
      <c r="C464" s="86"/>
      <c r="D464" s="86"/>
      <c r="E464" s="86"/>
      <c r="F464" s="86"/>
      <c r="G464" s="86"/>
      <c r="H464" s="86"/>
      <c r="I464" s="86"/>
      <c r="J464" s="86"/>
      <c r="K464" s="86"/>
      <c r="L464" s="102"/>
      <c r="M464" s="86"/>
      <c r="N464" s="86"/>
      <c r="O464" s="86"/>
      <c r="P464" s="86"/>
      <c r="Q464" s="86"/>
      <c r="R464" s="86"/>
      <c r="S464" s="86"/>
      <c r="T464" s="86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  <c r="AH464" s="86"/>
      <c r="AI464" s="86"/>
      <c r="AJ464" s="86"/>
      <c r="AK464" s="86"/>
      <c r="AL464" s="86"/>
      <c r="AM464" s="95"/>
      <c r="AN464" s="86"/>
    </row>
    <row r="465" spans="1:40" ht="45" customHeight="1" x14ac:dyDescent="0.25">
      <c r="A465" s="86"/>
      <c r="B465" s="86"/>
      <c r="C465" s="86"/>
      <c r="D465" s="86"/>
      <c r="E465" s="86"/>
      <c r="F465" s="86"/>
      <c r="G465" s="86"/>
      <c r="H465" s="86"/>
      <c r="I465" s="86"/>
      <c r="J465" s="86"/>
      <c r="K465" s="86"/>
      <c r="L465" s="102"/>
      <c r="M465" s="86"/>
      <c r="N465" s="86"/>
      <c r="O465" s="86"/>
      <c r="P465" s="86"/>
      <c r="Q465" s="86"/>
      <c r="R465" s="86"/>
      <c r="S465" s="86"/>
      <c r="T465" s="86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  <c r="AH465" s="86"/>
      <c r="AI465" s="86"/>
      <c r="AJ465" s="86"/>
      <c r="AK465" s="86"/>
      <c r="AL465" s="86"/>
      <c r="AM465" s="95"/>
      <c r="AN465" s="86"/>
    </row>
    <row r="466" spans="1:40" ht="45" customHeight="1" x14ac:dyDescent="0.25">
      <c r="A466" s="86"/>
      <c r="B466" s="86"/>
      <c r="C466" s="86"/>
      <c r="D466" s="86"/>
      <c r="E466" s="86"/>
      <c r="F466" s="86"/>
      <c r="G466" s="86"/>
      <c r="H466" s="86"/>
      <c r="I466" s="86"/>
      <c r="J466" s="86"/>
      <c r="K466" s="86"/>
      <c r="L466" s="102"/>
      <c r="M466" s="86"/>
      <c r="N466" s="86"/>
      <c r="O466" s="86"/>
      <c r="P466" s="86"/>
      <c r="Q466" s="86"/>
      <c r="R466" s="86"/>
      <c r="S466" s="86"/>
      <c r="T466" s="86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  <c r="AH466" s="86"/>
      <c r="AI466" s="86"/>
      <c r="AJ466" s="86"/>
      <c r="AK466" s="86"/>
      <c r="AL466" s="86"/>
      <c r="AM466" s="95"/>
      <c r="AN466" s="86"/>
    </row>
    <row r="467" spans="1:40" ht="45" customHeight="1" x14ac:dyDescent="0.25">
      <c r="A467" s="86"/>
      <c r="B467" s="86"/>
      <c r="C467" s="86"/>
      <c r="D467" s="86"/>
      <c r="E467" s="86"/>
      <c r="F467" s="86"/>
      <c r="G467" s="86"/>
      <c r="H467" s="86"/>
      <c r="I467" s="86"/>
      <c r="J467" s="86"/>
      <c r="K467" s="86"/>
      <c r="L467" s="102"/>
      <c r="M467" s="86"/>
      <c r="N467" s="86"/>
      <c r="O467" s="86"/>
      <c r="P467" s="86"/>
      <c r="Q467" s="86"/>
      <c r="R467" s="86"/>
      <c r="S467" s="86"/>
      <c r="T467" s="86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  <c r="AH467" s="86"/>
      <c r="AI467" s="86"/>
      <c r="AJ467" s="86"/>
      <c r="AK467" s="86"/>
      <c r="AL467" s="86"/>
      <c r="AM467" s="95"/>
      <c r="AN467" s="86"/>
    </row>
    <row r="468" spans="1:40" ht="45" customHeight="1" x14ac:dyDescent="0.25">
      <c r="A468" s="86"/>
      <c r="B468" s="86"/>
      <c r="C468" s="86"/>
      <c r="D468" s="86"/>
      <c r="E468" s="86"/>
      <c r="F468" s="86"/>
      <c r="G468" s="86"/>
      <c r="H468" s="86"/>
      <c r="I468" s="86"/>
      <c r="J468" s="86"/>
      <c r="K468" s="86"/>
      <c r="L468" s="102"/>
      <c r="M468" s="86"/>
      <c r="N468" s="86"/>
      <c r="O468" s="86"/>
      <c r="P468" s="86"/>
      <c r="Q468" s="86"/>
      <c r="R468" s="86"/>
      <c r="S468" s="86"/>
      <c r="T468" s="86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  <c r="AH468" s="86"/>
      <c r="AI468" s="86"/>
      <c r="AJ468" s="86"/>
      <c r="AK468" s="86"/>
      <c r="AL468" s="86"/>
      <c r="AM468" s="95"/>
      <c r="AN468" s="86"/>
    </row>
    <row r="469" spans="1:40" ht="45" customHeight="1" x14ac:dyDescent="0.25">
      <c r="A469" s="86"/>
      <c r="B469" s="86"/>
      <c r="C469" s="86"/>
      <c r="D469" s="86"/>
      <c r="E469" s="86"/>
      <c r="F469" s="86"/>
      <c r="G469" s="86"/>
      <c r="H469" s="86"/>
      <c r="I469" s="86"/>
      <c r="J469" s="86"/>
      <c r="K469" s="86"/>
      <c r="L469" s="102"/>
      <c r="M469" s="86"/>
      <c r="N469" s="86"/>
      <c r="O469" s="86"/>
      <c r="P469" s="86"/>
      <c r="Q469" s="86"/>
      <c r="R469" s="86"/>
      <c r="S469" s="86"/>
      <c r="T469" s="86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  <c r="AH469" s="86"/>
      <c r="AI469" s="86"/>
      <c r="AJ469" s="86"/>
      <c r="AK469" s="86"/>
      <c r="AL469" s="86"/>
      <c r="AM469" s="95"/>
      <c r="AN469" s="86"/>
    </row>
    <row r="470" spans="1:40" ht="45" customHeight="1" x14ac:dyDescent="0.25">
      <c r="A470" s="86"/>
      <c r="B470" s="86"/>
      <c r="C470" s="86"/>
      <c r="D470" s="86"/>
      <c r="E470" s="86"/>
      <c r="F470" s="86"/>
      <c r="G470" s="86"/>
      <c r="H470" s="86"/>
      <c r="I470" s="86"/>
      <c r="J470" s="86"/>
      <c r="K470" s="86"/>
      <c r="L470" s="102"/>
      <c r="M470" s="86"/>
      <c r="N470" s="86"/>
      <c r="O470" s="86"/>
      <c r="P470" s="86"/>
      <c r="Q470" s="86"/>
      <c r="R470" s="86"/>
      <c r="S470" s="86"/>
      <c r="T470" s="86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  <c r="AH470" s="86"/>
      <c r="AI470" s="86"/>
      <c r="AJ470" s="86"/>
      <c r="AK470" s="86"/>
      <c r="AL470" s="86"/>
      <c r="AM470" s="95"/>
      <c r="AN470" s="86"/>
    </row>
    <row r="471" spans="1:40" ht="45" customHeight="1" x14ac:dyDescent="0.25">
      <c r="A471" s="86"/>
      <c r="B471" s="86"/>
      <c r="C471" s="86"/>
      <c r="D471" s="86"/>
      <c r="E471" s="86"/>
      <c r="F471" s="86"/>
      <c r="G471" s="86"/>
      <c r="H471" s="86"/>
      <c r="I471" s="86"/>
      <c r="J471" s="86"/>
      <c r="K471" s="86"/>
      <c r="L471" s="102"/>
      <c r="M471" s="86"/>
      <c r="N471" s="86"/>
      <c r="O471" s="86"/>
      <c r="P471" s="86"/>
      <c r="Q471" s="86"/>
      <c r="R471" s="86"/>
      <c r="S471" s="86"/>
      <c r="T471" s="86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  <c r="AH471" s="86"/>
      <c r="AI471" s="86"/>
      <c r="AJ471" s="86"/>
      <c r="AK471" s="86"/>
      <c r="AL471" s="86"/>
      <c r="AM471" s="95"/>
      <c r="AN471" s="86"/>
    </row>
    <row r="472" spans="1:40" ht="45" customHeight="1" x14ac:dyDescent="0.25">
      <c r="A472" s="86"/>
      <c r="B472" s="86"/>
      <c r="C472" s="86"/>
      <c r="D472" s="86"/>
      <c r="E472" s="86"/>
      <c r="F472" s="86"/>
      <c r="G472" s="86"/>
      <c r="H472" s="86"/>
      <c r="I472" s="86"/>
      <c r="J472" s="86"/>
      <c r="K472" s="86"/>
      <c r="L472" s="102"/>
      <c r="M472" s="86"/>
      <c r="N472" s="86"/>
      <c r="O472" s="86"/>
      <c r="P472" s="86"/>
      <c r="Q472" s="86"/>
      <c r="R472" s="86"/>
      <c r="S472" s="86"/>
      <c r="T472" s="86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  <c r="AH472" s="86"/>
      <c r="AI472" s="86"/>
      <c r="AJ472" s="86"/>
      <c r="AK472" s="86"/>
      <c r="AL472" s="86"/>
      <c r="AM472" s="95"/>
      <c r="AN472" s="86"/>
    </row>
    <row r="473" spans="1:40" ht="45" customHeight="1" x14ac:dyDescent="0.25">
      <c r="A473" s="86"/>
      <c r="B473" s="86"/>
      <c r="C473" s="86"/>
      <c r="D473" s="86"/>
      <c r="E473" s="86"/>
      <c r="F473" s="86"/>
      <c r="G473" s="86"/>
      <c r="H473" s="86"/>
      <c r="I473" s="86"/>
      <c r="J473" s="86"/>
      <c r="K473" s="86"/>
      <c r="L473" s="102"/>
      <c r="M473" s="86"/>
      <c r="N473" s="86"/>
      <c r="O473" s="86"/>
      <c r="P473" s="86"/>
      <c r="Q473" s="86"/>
      <c r="R473" s="86"/>
      <c r="S473" s="86"/>
      <c r="T473" s="86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  <c r="AH473" s="86"/>
      <c r="AI473" s="86"/>
      <c r="AJ473" s="86"/>
      <c r="AK473" s="86"/>
      <c r="AL473" s="86"/>
      <c r="AM473" s="95"/>
      <c r="AN473" s="86"/>
    </row>
    <row r="474" spans="1:40" ht="45" customHeight="1" x14ac:dyDescent="0.25">
      <c r="A474" s="86"/>
      <c r="B474" s="86"/>
      <c r="C474" s="86"/>
      <c r="D474" s="86"/>
      <c r="E474" s="86"/>
      <c r="F474" s="86"/>
      <c r="G474" s="86"/>
      <c r="H474" s="86"/>
      <c r="I474" s="86"/>
      <c r="J474" s="86"/>
      <c r="K474" s="86"/>
      <c r="L474" s="102"/>
      <c r="M474" s="86"/>
      <c r="N474" s="86"/>
      <c r="O474" s="86"/>
      <c r="P474" s="86"/>
      <c r="Q474" s="86"/>
      <c r="R474" s="86"/>
      <c r="S474" s="86"/>
      <c r="T474" s="86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  <c r="AH474" s="86"/>
      <c r="AI474" s="86"/>
      <c r="AJ474" s="86"/>
      <c r="AK474" s="86"/>
      <c r="AL474" s="86"/>
      <c r="AM474" s="95"/>
      <c r="AN474" s="86"/>
    </row>
    <row r="475" spans="1:40" ht="45" customHeight="1" x14ac:dyDescent="0.25">
      <c r="A475" s="86"/>
      <c r="B475" s="86"/>
      <c r="C475" s="86"/>
      <c r="D475" s="86"/>
      <c r="E475" s="86"/>
      <c r="F475" s="86"/>
      <c r="G475" s="86"/>
      <c r="H475" s="86"/>
      <c r="I475" s="86"/>
      <c r="J475" s="86"/>
      <c r="K475" s="86"/>
      <c r="L475" s="102"/>
      <c r="M475" s="86"/>
      <c r="N475" s="86"/>
      <c r="O475" s="86"/>
      <c r="P475" s="86"/>
      <c r="Q475" s="86"/>
      <c r="R475" s="86"/>
      <c r="S475" s="86"/>
      <c r="T475" s="86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  <c r="AH475" s="86"/>
      <c r="AI475" s="86"/>
      <c r="AJ475" s="86"/>
      <c r="AK475" s="86"/>
      <c r="AL475" s="86"/>
      <c r="AM475" s="95"/>
      <c r="AN475" s="86"/>
    </row>
    <row r="476" spans="1:40" ht="45" customHeight="1" x14ac:dyDescent="0.25">
      <c r="A476" s="86"/>
      <c r="B476" s="86"/>
      <c r="C476" s="86"/>
      <c r="D476" s="86"/>
      <c r="E476" s="86"/>
      <c r="F476" s="86"/>
      <c r="G476" s="86"/>
      <c r="H476" s="86"/>
      <c r="I476" s="86"/>
      <c r="J476" s="86"/>
      <c r="K476" s="86"/>
      <c r="L476" s="102"/>
      <c r="M476" s="86"/>
      <c r="N476" s="86"/>
      <c r="O476" s="86"/>
      <c r="P476" s="86"/>
      <c r="Q476" s="86"/>
      <c r="R476" s="86"/>
      <c r="S476" s="86"/>
      <c r="T476" s="86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  <c r="AH476" s="86"/>
      <c r="AI476" s="86"/>
      <c r="AJ476" s="86"/>
      <c r="AK476" s="86"/>
      <c r="AL476" s="86"/>
      <c r="AM476" s="95"/>
      <c r="AN476" s="86"/>
    </row>
    <row r="477" spans="1:40" ht="45" customHeight="1" x14ac:dyDescent="0.25">
      <c r="A477" s="86"/>
      <c r="B477" s="86"/>
      <c r="C477" s="86"/>
      <c r="D477" s="86"/>
      <c r="E477" s="86"/>
      <c r="F477" s="86"/>
      <c r="G477" s="86"/>
      <c r="H477" s="86"/>
      <c r="I477" s="86"/>
      <c r="J477" s="86"/>
      <c r="K477" s="86"/>
      <c r="L477" s="102"/>
      <c r="M477" s="86"/>
      <c r="N477" s="86"/>
      <c r="O477" s="86"/>
      <c r="P477" s="86"/>
      <c r="Q477" s="86"/>
      <c r="R477" s="86"/>
      <c r="S477" s="86"/>
      <c r="T477" s="86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  <c r="AH477" s="86"/>
      <c r="AI477" s="86"/>
      <c r="AJ477" s="86"/>
      <c r="AK477" s="86"/>
      <c r="AL477" s="86"/>
      <c r="AM477" s="95"/>
      <c r="AN477" s="86"/>
    </row>
    <row r="478" spans="1:40" ht="45" customHeight="1" x14ac:dyDescent="0.25">
      <c r="A478" s="86"/>
      <c r="B478" s="86"/>
      <c r="C478" s="86"/>
      <c r="D478" s="86"/>
      <c r="E478" s="86"/>
      <c r="F478" s="86"/>
      <c r="G478" s="86"/>
      <c r="H478" s="86"/>
      <c r="I478" s="86"/>
      <c r="J478" s="86"/>
      <c r="K478" s="86"/>
      <c r="L478" s="102"/>
      <c r="M478" s="86"/>
      <c r="N478" s="86"/>
      <c r="O478" s="86"/>
      <c r="P478" s="86"/>
      <c r="Q478" s="86"/>
      <c r="R478" s="86"/>
      <c r="S478" s="86"/>
      <c r="T478" s="86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  <c r="AH478" s="86"/>
      <c r="AI478" s="86"/>
      <c r="AJ478" s="86"/>
      <c r="AK478" s="86"/>
      <c r="AL478" s="86"/>
      <c r="AM478" s="95"/>
      <c r="AN478" s="86"/>
    </row>
    <row r="479" spans="1:40" ht="45" customHeight="1" x14ac:dyDescent="0.25">
      <c r="A479" s="86"/>
      <c r="B479" s="86"/>
      <c r="C479" s="86"/>
      <c r="D479" s="86"/>
      <c r="E479" s="86"/>
      <c r="F479" s="86"/>
      <c r="G479" s="86"/>
      <c r="H479" s="86"/>
      <c r="I479" s="86"/>
      <c r="J479" s="86"/>
      <c r="K479" s="86"/>
      <c r="L479" s="102"/>
      <c r="M479" s="86"/>
      <c r="N479" s="86"/>
      <c r="O479" s="86"/>
      <c r="P479" s="86"/>
      <c r="Q479" s="86"/>
      <c r="R479" s="86"/>
      <c r="S479" s="86"/>
      <c r="T479" s="86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  <c r="AH479" s="86"/>
      <c r="AI479" s="86"/>
      <c r="AJ479" s="86"/>
      <c r="AK479" s="86"/>
      <c r="AL479" s="86"/>
      <c r="AM479" s="95"/>
      <c r="AN479" s="86"/>
    </row>
    <row r="480" spans="1:40" ht="45" customHeight="1" x14ac:dyDescent="0.25">
      <c r="A480" s="86"/>
      <c r="B480" s="86"/>
      <c r="C480" s="86"/>
      <c r="D480" s="86"/>
      <c r="E480" s="86"/>
      <c r="F480" s="86"/>
      <c r="G480" s="86"/>
      <c r="H480" s="86"/>
      <c r="I480" s="86"/>
      <c r="J480" s="86"/>
      <c r="K480" s="86"/>
      <c r="L480" s="102"/>
      <c r="M480" s="86"/>
      <c r="N480" s="86"/>
      <c r="O480" s="86"/>
      <c r="P480" s="86"/>
      <c r="Q480" s="86"/>
      <c r="R480" s="86"/>
      <c r="S480" s="86"/>
      <c r="T480" s="86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  <c r="AH480" s="86"/>
      <c r="AI480" s="86"/>
      <c r="AJ480" s="86"/>
      <c r="AK480" s="86"/>
      <c r="AL480" s="86"/>
      <c r="AM480" s="95"/>
      <c r="AN480" s="86"/>
    </row>
    <row r="481" spans="1:40" ht="45" customHeight="1" x14ac:dyDescent="0.25">
      <c r="A481" s="86"/>
      <c r="B481" s="86"/>
      <c r="C481" s="86"/>
      <c r="D481" s="86"/>
      <c r="E481" s="86"/>
      <c r="F481" s="86"/>
      <c r="G481" s="86"/>
      <c r="H481" s="86"/>
      <c r="I481" s="86"/>
      <c r="J481" s="86"/>
      <c r="K481" s="86"/>
      <c r="L481" s="102"/>
      <c r="M481" s="86"/>
      <c r="N481" s="86"/>
      <c r="O481" s="86"/>
      <c r="P481" s="86"/>
      <c r="Q481" s="86"/>
      <c r="R481" s="86"/>
      <c r="S481" s="86"/>
      <c r="T481" s="86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  <c r="AH481" s="86"/>
      <c r="AI481" s="86"/>
      <c r="AJ481" s="86"/>
      <c r="AK481" s="86"/>
      <c r="AL481" s="86"/>
      <c r="AM481" s="95"/>
      <c r="AN481" s="86"/>
    </row>
    <row r="482" spans="1:40" ht="45" customHeight="1" x14ac:dyDescent="0.25">
      <c r="A482" s="86"/>
      <c r="B482" s="86"/>
      <c r="C482" s="86"/>
      <c r="D482" s="86"/>
      <c r="E482" s="86"/>
      <c r="F482" s="86"/>
      <c r="G482" s="86"/>
      <c r="H482" s="86"/>
      <c r="I482" s="86"/>
      <c r="J482" s="86"/>
      <c r="K482" s="86"/>
      <c r="L482" s="102"/>
      <c r="M482" s="86"/>
      <c r="N482" s="86"/>
      <c r="O482" s="86"/>
      <c r="P482" s="86"/>
      <c r="Q482" s="86"/>
      <c r="R482" s="86"/>
      <c r="S482" s="86"/>
      <c r="T482" s="86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  <c r="AH482" s="86"/>
      <c r="AI482" s="86"/>
      <c r="AJ482" s="86"/>
      <c r="AK482" s="86"/>
      <c r="AL482" s="86"/>
      <c r="AM482" s="95"/>
      <c r="AN482" s="86"/>
    </row>
    <row r="483" spans="1:40" ht="45" customHeight="1" x14ac:dyDescent="0.25">
      <c r="A483" s="86"/>
      <c r="B483" s="86"/>
      <c r="C483" s="86"/>
      <c r="D483" s="86"/>
      <c r="E483" s="86"/>
      <c r="F483" s="86"/>
      <c r="G483" s="86"/>
      <c r="H483" s="86"/>
      <c r="I483" s="86"/>
      <c r="J483" s="86"/>
      <c r="K483" s="86"/>
      <c r="L483" s="102"/>
      <c r="M483" s="86"/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  <c r="AH483" s="86"/>
      <c r="AI483" s="86"/>
      <c r="AJ483" s="86"/>
      <c r="AK483" s="86"/>
      <c r="AL483" s="86"/>
      <c r="AM483" s="95"/>
      <c r="AN483" s="86"/>
    </row>
    <row r="484" spans="1:40" ht="45" customHeight="1" x14ac:dyDescent="0.25">
      <c r="A484" s="86"/>
      <c r="B484" s="86"/>
      <c r="C484" s="86"/>
      <c r="D484" s="86"/>
      <c r="E484" s="86"/>
      <c r="F484" s="86"/>
      <c r="G484" s="86"/>
      <c r="H484" s="86"/>
      <c r="I484" s="86"/>
      <c r="J484" s="86"/>
      <c r="K484" s="86"/>
      <c r="L484" s="102"/>
      <c r="M484" s="86"/>
      <c r="N484" s="86"/>
      <c r="O484" s="86"/>
      <c r="P484" s="86"/>
      <c r="Q484" s="86"/>
      <c r="R484" s="86"/>
      <c r="S484" s="86"/>
      <c r="T484" s="86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  <c r="AH484" s="86"/>
      <c r="AI484" s="86"/>
      <c r="AJ484" s="86"/>
      <c r="AK484" s="86"/>
      <c r="AL484" s="86"/>
      <c r="AM484" s="95"/>
      <c r="AN484" s="86"/>
    </row>
    <row r="485" spans="1:40" ht="45" customHeight="1" x14ac:dyDescent="0.25">
      <c r="A485" s="86"/>
      <c r="B485" s="86"/>
      <c r="C485" s="86"/>
      <c r="D485" s="86"/>
      <c r="E485" s="86"/>
      <c r="F485" s="86"/>
      <c r="G485" s="86"/>
      <c r="H485" s="86"/>
      <c r="I485" s="86"/>
      <c r="J485" s="86"/>
      <c r="K485" s="86"/>
      <c r="L485" s="102"/>
      <c r="M485" s="86"/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  <c r="AH485" s="86"/>
      <c r="AI485" s="86"/>
      <c r="AJ485" s="86"/>
      <c r="AK485" s="86"/>
      <c r="AL485" s="86"/>
      <c r="AM485" s="95"/>
      <c r="AN485" s="86"/>
    </row>
    <row r="486" spans="1:40" ht="45" customHeight="1" x14ac:dyDescent="0.25">
      <c r="A486" s="86"/>
      <c r="B486" s="86"/>
      <c r="C486" s="86"/>
      <c r="D486" s="86"/>
      <c r="E486" s="86"/>
      <c r="F486" s="86"/>
      <c r="G486" s="86"/>
      <c r="H486" s="86"/>
      <c r="I486" s="86"/>
      <c r="J486" s="86"/>
      <c r="K486" s="86"/>
      <c r="L486" s="102"/>
      <c r="M486" s="86"/>
      <c r="N486" s="86"/>
      <c r="O486" s="86"/>
      <c r="P486" s="86"/>
      <c r="Q486" s="86"/>
      <c r="R486" s="86"/>
      <c r="S486" s="86"/>
      <c r="T486" s="86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  <c r="AH486" s="86"/>
      <c r="AI486" s="86"/>
      <c r="AJ486" s="86"/>
      <c r="AK486" s="86"/>
      <c r="AL486" s="86"/>
      <c r="AM486" s="95"/>
      <c r="AN486" s="86"/>
    </row>
    <row r="487" spans="1:40" ht="45" customHeight="1" x14ac:dyDescent="0.25">
      <c r="A487" s="86"/>
      <c r="B487" s="86"/>
      <c r="C487" s="86"/>
      <c r="D487" s="86"/>
      <c r="E487" s="86"/>
      <c r="F487" s="86"/>
      <c r="G487" s="86"/>
      <c r="H487" s="86"/>
      <c r="I487" s="86"/>
      <c r="J487" s="86"/>
      <c r="K487" s="86"/>
      <c r="L487" s="102"/>
      <c r="M487" s="86"/>
      <c r="N487" s="86"/>
      <c r="O487" s="86"/>
      <c r="P487" s="86"/>
      <c r="Q487" s="86"/>
      <c r="R487" s="86"/>
      <c r="S487" s="86"/>
      <c r="T487" s="86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  <c r="AH487" s="86"/>
      <c r="AI487" s="86"/>
      <c r="AJ487" s="86"/>
      <c r="AK487" s="86"/>
      <c r="AL487" s="86"/>
      <c r="AM487" s="95"/>
      <c r="AN487" s="86"/>
    </row>
    <row r="488" spans="1:40" ht="45" customHeight="1" x14ac:dyDescent="0.25">
      <c r="A488" s="86"/>
      <c r="B488" s="86"/>
      <c r="C488" s="86"/>
      <c r="D488" s="86"/>
      <c r="E488" s="86"/>
      <c r="F488" s="86"/>
      <c r="G488" s="86"/>
      <c r="H488" s="86"/>
      <c r="I488" s="86"/>
      <c r="J488" s="86"/>
      <c r="K488" s="86"/>
      <c r="L488" s="102"/>
      <c r="M488" s="86"/>
      <c r="N488" s="86"/>
      <c r="O488" s="86"/>
      <c r="P488" s="86"/>
      <c r="Q488" s="86"/>
      <c r="R488" s="86"/>
      <c r="S488" s="86"/>
      <c r="T488" s="86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  <c r="AH488" s="86"/>
      <c r="AI488" s="86"/>
      <c r="AJ488" s="86"/>
      <c r="AK488" s="86"/>
      <c r="AL488" s="86"/>
      <c r="AM488" s="95"/>
      <c r="AN488" s="86"/>
    </row>
    <row r="489" spans="1:40" ht="45" customHeight="1" x14ac:dyDescent="0.25">
      <c r="A489" s="86"/>
      <c r="B489" s="86"/>
      <c r="C489" s="86"/>
      <c r="D489" s="86"/>
      <c r="E489" s="86"/>
      <c r="F489" s="86"/>
      <c r="G489" s="86"/>
      <c r="H489" s="86"/>
      <c r="I489" s="86"/>
      <c r="J489" s="86"/>
      <c r="K489" s="86"/>
      <c r="L489" s="102"/>
      <c r="M489" s="86"/>
      <c r="N489" s="86"/>
      <c r="O489" s="86"/>
      <c r="P489" s="86"/>
      <c r="Q489" s="86"/>
      <c r="R489" s="86"/>
      <c r="S489" s="86"/>
      <c r="T489" s="86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  <c r="AH489" s="86"/>
      <c r="AI489" s="86"/>
      <c r="AJ489" s="86"/>
      <c r="AK489" s="86"/>
      <c r="AL489" s="86"/>
      <c r="AM489" s="95"/>
      <c r="AN489" s="86"/>
    </row>
    <row r="490" spans="1:40" ht="45" customHeight="1" x14ac:dyDescent="0.25">
      <c r="A490" s="86"/>
      <c r="B490" s="86"/>
      <c r="C490" s="86"/>
      <c r="D490" s="86"/>
      <c r="E490" s="86"/>
      <c r="F490" s="86"/>
      <c r="G490" s="86"/>
      <c r="H490" s="86"/>
      <c r="I490" s="86"/>
      <c r="J490" s="86"/>
      <c r="K490" s="86"/>
      <c r="L490" s="102"/>
      <c r="M490" s="86"/>
      <c r="N490" s="86"/>
      <c r="O490" s="86"/>
      <c r="P490" s="86"/>
      <c r="Q490" s="86"/>
      <c r="R490" s="86"/>
      <c r="S490" s="86"/>
      <c r="T490" s="86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  <c r="AH490" s="86"/>
      <c r="AI490" s="86"/>
      <c r="AJ490" s="86"/>
      <c r="AK490" s="86"/>
      <c r="AL490" s="86"/>
      <c r="AM490" s="95"/>
      <c r="AN490" s="86"/>
    </row>
    <row r="491" spans="1:40" ht="45" customHeight="1" x14ac:dyDescent="0.25">
      <c r="A491" s="86"/>
      <c r="B491" s="86"/>
      <c r="C491" s="86"/>
      <c r="D491" s="86"/>
      <c r="E491" s="86"/>
      <c r="F491" s="86"/>
      <c r="G491" s="86"/>
      <c r="H491" s="86"/>
      <c r="I491" s="86"/>
      <c r="J491" s="86"/>
      <c r="K491" s="86"/>
      <c r="L491" s="102"/>
      <c r="M491" s="86"/>
      <c r="N491" s="86"/>
      <c r="O491" s="86"/>
      <c r="P491" s="86"/>
      <c r="Q491" s="86"/>
      <c r="R491" s="86"/>
      <c r="S491" s="86"/>
      <c r="T491" s="86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  <c r="AH491" s="86"/>
      <c r="AI491" s="86"/>
      <c r="AJ491" s="86"/>
      <c r="AK491" s="86"/>
      <c r="AL491" s="86"/>
      <c r="AM491" s="95"/>
      <c r="AN491" s="86"/>
    </row>
    <row r="492" spans="1:40" ht="45" customHeight="1" x14ac:dyDescent="0.25">
      <c r="A492" s="86"/>
      <c r="B492" s="86"/>
      <c r="C492" s="86"/>
      <c r="D492" s="86"/>
      <c r="E492" s="86"/>
      <c r="F492" s="86"/>
      <c r="G492" s="86"/>
      <c r="H492" s="86"/>
      <c r="I492" s="86"/>
      <c r="J492" s="86"/>
      <c r="K492" s="86"/>
      <c r="L492" s="102"/>
      <c r="M492" s="86"/>
      <c r="N492" s="86"/>
      <c r="O492" s="86"/>
      <c r="P492" s="86"/>
      <c r="Q492" s="86"/>
      <c r="R492" s="86"/>
      <c r="S492" s="86"/>
      <c r="T492" s="86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  <c r="AH492" s="86"/>
      <c r="AI492" s="86"/>
      <c r="AJ492" s="86"/>
      <c r="AK492" s="86"/>
      <c r="AL492" s="86"/>
      <c r="AM492" s="95"/>
      <c r="AN492" s="86"/>
    </row>
    <row r="493" spans="1:40" ht="45" customHeight="1" x14ac:dyDescent="0.25">
      <c r="A493" s="86"/>
      <c r="B493" s="86"/>
      <c r="C493" s="86"/>
      <c r="D493" s="86"/>
      <c r="E493" s="86"/>
      <c r="F493" s="86"/>
      <c r="G493" s="86"/>
      <c r="H493" s="86"/>
      <c r="I493" s="86"/>
      <c r="J493" s="86"/>
      <c r="K493" s="86"/>
      <c r="L493" s="102"/>
      <c r="M493" s="86"/>
      <c r="N493" s="86"/>
      <c r="O493" s="86"/>
      <c r="P493" s="86"/>
      <c r="Q493" s="86"/>
      <c r="R493" s="86"/>
      <c r="S493" s="86"/>
      <c r="T493" s="86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  <c r="AH493" s="86"/>
      <c r="AI493" s="86"/>
      <c r="AJ493" s="86"/>
      <c r="AK493" s="86"/>
      <c r="AL493" s="86"/>
      <c r="AM493" s="95"/>
      <c r="AN493" s="86"/>
    </row>
    <row r="494" spans="1:40" ht="45" customHeight="1" x14ac:dyDescent="0.25">
      <c r="A494" s="86"/>
      <c r="B494" s="86"/>
      <c r="C494" s="86"/>
      <c r="D494" s="86"/>
      <c r="E494" s="86"/>
      <c r="F494" s="86"/>
      <c r="G494" s="86"/>
      <c r="H494" s="86"/>
      <c r="I494" s="86"/>
      <c r="J494" s="86"/>
      <c r="K494" s="86"/>
      <c r="L494" s="102"/>
      <c r="M494" s="86"/>
      <c r="N494" s="86"/>
      <c r="O494" s="86"/>
      <c r="P494" s="86"/>
      <c r="Q494" s="86"/>
      <c r="R494" s="86"/>
      <c r="S494" s="86"/>
      <c r="T494" s="86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  <c r="AH494" s="86"/>
      <c r="AI494" s="86"/>
      <c r="AJ494" s="86"/>
      <c r="AK494" s="86"/>
      <c r="AL494" s="86"/>
      <c r="AM494" s="95"/>
      <c r="AN494" s="86"/>
    </row>
    <row r="495" spans="1:40" ht="45" customHeight="1" x14ac:dyDescent="0.25">
      <c r="A495" s="86"/>
      <c r="B495" s="86"/>
      <c r="C495" s="86"/>
      <c r="D495" s="86"/>
      <c r="E495" s="86"/>
      <c r="F495" s="86"/>
      <c r="G495" s="86"/>
      <c r="H495" s="86"/>
      <c r="I495" s="86"/>
      <c r="J495" s="86"/>
      <c r="K495" s="86"/>
      <c r="L495" s="102"/>
      <c r="M495" s="86"/>
      <c r="N495" s="86"/>
      <c r="O495" s="86"/>
      <c r="P495" s="86"/>
      <c r="Q495" s="86"/>
      <c r="R495" s="86"/>
      <c r="S495" s="86"/>
      <c r="T495" s="86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  <c r="AH495" s="86"/>
      <c r="AI495" s="86"/>
      <c r="AJ495" s="86"/>
      <c r="AK495" s="86"/>
      <c r="AL495" s="86"/>
      <c r="AM495" s="95"/>
      <c r="AN495" s="86"/>
    </row>
    <row r="496" spans="1:40" ht="45" customHeight="1" x14ac:dyDescent="0.25">
      <c r="A496" s="86"/>
      <c r="B496" s="86"/>
      <c r="C496" s="86"/>
      <c r="D496" s="86"/>
      <c r="E496" s="86"/>
      <c r="F496" s="86"/>
      <c r="G496" s="86"/>
      <c r="H496" s="86"/>
      <c r="I496" s="86"/>
      <c r="J496" s="86"/>
      <c r="K496" s="86"/>
      <c r="L496" s="102"/>
      <c r="M496" s="86"/>
      <c r="N496" s="86"/>
      <c r="O496" s="86"/>
      <c r="P496" s="86"/>
      <c r="Q496" s="86"/>
      <c r="R496" s="86"/>
      <c r="S496" s="86"/>
      <c r="T496" s="86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  <c r="AH496" s="86"/>
      <c r="AI496" s="86"/>
      <c r="AJ496" s="86"/>
      <c r="AK496" s="86"/>
      <c r="AL496" s="86"/>
      <c r="AM496" s="95"/>
      <c r="AN496" s="86"/>
    </row>
    <row r="497" spans="1:40" ht="45" customHeight="1" x14ac:dyDescent="0.25">
      <c r="A497" s="86"/>
      <c r="B497" s="86"/>
      <c r="C497" s="86"/>
      <c r="D497" s="86"/>
      <c r="E497" s="86"/>
      <c r="F497" s="86"/>
      <c r="G497" s="86"/>
      <c r="H497" s="86"/>
      <c r="I497" s="86"/>
      <c r="J497" s="86"/>
      <c r="K497" s="86"/>
      <c r="L497" s="102"/>
      <c r="M497" s="86"/>
      <c r="N497" s="86"/>
      <c r="O497" s="86"/>
      <c r="P497" s="86"/>
      <c r="Q497" s="86"/>
      <c r="R497" s="86"/>
      <c r="S497" s="86"/>
      <c r="T497" s="86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  <c r="AH497" s="86"/>
      <c r="AI497" s="86"/>
      <c r="AJ497" s="86"/>
      <c r="AK497" s="86"/>
      <c r="AL497" s="86"/>
      <c r="AM497" s="95"/>
      <c r="AN497" s="86"/>
    </row>
    <row r="498" spans="1:40" ht="45" customHeight="1" x14ac:dyDescent="0.25">
      <c r="A498" s="86"/>
      <c r="B498" s="86"/>
      <c r="C498" s="86"/>
      <c r="D498" s="86"/>
      <c r="E498" s="86"/>
      <c r="F498" s="86"/>
      <c r="G498" s="86"/>
      <c r="H498" s="86"/>
      <c r="I498" s="86"/>
      <c r="J498" s="86"/>
      <c r="K498" s="86"/>
      <c r="L498" s="102"/>
      <c r="M498" s="86"/>
      <c r="N498" s="86"/>
      <c r="O498" s="86"/>
      <c r="P498" s="86"/>
      <c r="Q498" s="86"/>
      <c r="R498" s="86"/>
      <c r="S498" s="86"/>
      <c r="T498" s="86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  <c r="AH498" s="86"/>
      <c r="AI498" s="86"/>
      <c r="AJ498" s="86"/>
      <c r="AK498" s="86"/>
      <c r="AL498" s="86"/>
      <c r="AM498" s="95"/>
      <c r="AN498" s="86"/>
    </row>
    <row r="499" spans="1:40" ht="45" customHeight="1" x14ac:dyDescent="0.25">
      <c r="A499" s="86"/>
      <c r="B499" s="86"/>
      <c r="C499" s="86"/>
      <c r="D499" s="86"/>
      <c r="E499" s="86"/>
      <c r="F499" s="86"/>
      <c r="G499" s="86"/>
      <c r="H499" s="86"/>
      <c r="I499" s="86"/>
      <c r="J499" s="86"/>
      <c r="K499" s="86"/>
      <c r="L499" s="102"/>
      <c r="M499" s="86"/>
      <c r="N499" s="86"/>
      <c r="O499" s="86"/>
      <c r="P499" s="86"/>
      <c r="Q499" s="86"/>
      <c r="R499" s="86"/>
      <c r="S499" s="86"/>
      <c r="T499" s="86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  <c r="AH499" s="86"/>
      <c r="AI499" s="86"/>
      <c r="AJ499" s="86"/>
      <c r="AK499" s="86"/>
      <c r="AL499" s="86"/>
      <c r="AM499" s="95"/>
      <c r="AN499" s="86"/>
    </row>
    <row r="500" spans="1:40" ht="45" customHeight="1" x14ac:dyDescent="0.25">
      <c r="A500" s="86"/>
      <c r="B500" s="86"/>
      <c r="C500" s="86"/>
      <c r="D500" s="86"/>
      <c r="E500" s="86"/>
      <c r="F500" s="86"/>
      <c r="G500" s="86"/>
      <c r="H500" s="86"/>
      <c r="I500" s="86"/>
      <c r="J500" s="86"/>
      <c r="K500" s="86"/>
      <c r="L500" s="102"/>
      <c r="M500" s="86"/>
      <c r="N500" s="86"/>
      <c r="O500" s="86"/>
      <c r="P500" s="86"/>
      <c r="Q500" s="86"/>
      <c r="R500" s="86"/>
      <c r="S500" s="86"/>
      <c r="T500" s="86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  <c r="AH500" s="86"/>
      <c r="AI500" s="86"/>
      <c r="AJ500" s="86"/>
      <c r="AK500" s="86"/>
      <c r="AL500" s="86"/>
      <c r="AM500" s="95"/>
      <c r="AN500" s="86"/>
    </row>
    <row r="501" spans="1:40" ht="45" customHeight="1" x14ac:dyDescent="0.25">
      <c r="A501" s="86"/>
      <c r="B501" s="86"/>
      <c r="C501" s="86"/>
      <c r="D501" s="86"/>
      <c r="E501" s="86"/>
      <c r="F501" s="86"/>
      <c r="G501" s="86"/>
      <c r="H501" s="86"/>
      <c r="I501" s="86"/>
      <c r="J501" s="86"/>
      <c r="K501" s="86"/>
      <c r="L501" s="102"/>
      <c r="M501" s="86"/>
      <c r="N501" s="86"/>
      <c r="O501" s="86"/>
      <c r="P501" s="86"/>
      <c r="Q501" s="86"/>
      <c r="R501" s="86"/>
      <c r="S501" s="86"/>
      <c r="T501" s="86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  <c r="AH501" s="86"/>
      <c r="AI501" s="86"/>
      <c r="AJ501" s="86"/>
      <c r="AK501" s="86"/>
      <c r="AL501" s="86"/>
      <c r="AM501" s="95"/>
      <c r="AN501" s="86"/>
    </row>
    <row r="502" spans="1:40" ht="45" customHeight="1" x14ac:dyDescent="0.25">
      <c r="A502" s="86"/>
      <c r="B502" s="86"/>
      <c r="C502" s="86"/>
      <c r="D502" s="86"/>
      <c r="E502" s="86"/>
      <c r="F502" s="86"/>
      <c r="G502" s="86"/>
      <c r="H502" s="86"/>
      <c r="I502" s="86"/>
      <c r="J502" s="86"/>
      <c r="K502" s="86"/>
      <c r="L502" s="102"/>
      <c r="M502" s="86"/>
      <c r="N502" s="86"/>
      <c r="O502" s="86"/>
      <c r="P502" s="86"/>
      <c r="Q502" s="86"/>
      <c r="R502" s="86"/>
      <c r="S502" s="86"/>
      <c r="T502" s="86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  <c r="AH502" s="86"/>
      <c r="AI502" s="86"/>
      <c r="AJ502" s="86"/>
      <c r="AK502" s="86"/>
      <c r="AL502" s="86"/>
      <c r="AM502" s="95"/>
      <c r="AN502" s="86"/>
    </row>
    <row r="503" spans="1:40" ht="45" customHeight="1" x14ac:dyDescent="0.25">
      <c r="A503" s="86"/>
      <c r="B503" s="86"/>
      <c r="C503" s="86"/>
      <c r="D503" s="86"/>
      <c r="E503" s="86"/>
      <c r="F503" s="86"/>
      <c r="G503" s="86"/>
      <c r="H503" s="86"/>
      <c r="I503" s="86"/>
      <c r="J503" s="86"/>
      <c r="K503" s="86"/>
      <c r="L503" s="102"/>
      <c r="M503" s="86"/>
      <c r="N503" s="86"/>
      <c r="O503" s="86"/>
      <c r="P503" s="86"/>
      <c r="Q503" s="86"/>
      <c r="R503" s="86"/>
      <c r="S503" s="86"/>
      <c r="T503" s="86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  <c r="AH503" s="86"/>
      <c r="AI503" s="86"/>
      <c r="AJ503" s="86"/>
      <c r="AK503" s="86"/>
      <c r="AL503" s="86"/>
      <c r="AM503" s="95"/>
      <c r="AN503" s="86"/>
    </row>
    <row r="504" spans="1:40" ht="45" customHeight="1" x14ac:dyDescent="0.25">
      <c r="A504" s="86"/>
      <c r="B504" s="86"/>
      <c r="C504" s="86"/>
      <c r="D504" s="86"/>
      <c r="E504" s="86"/>
      <c r="F504" s="86"/>
      <c r="G504" s="86"/>
      <c r="H504" s="86"/>
      <c r="I504" s="86"/>
      <c r="J504" s="86"/>
      <c r="K504" s="86"/>
      <c r="L504" s="102"/>
      <c r="M504" s="86"/>
      <c r="N504" s="86"/>
      <c r="O504" s="86"/>
      <c r="P504" s="86"/>
      <c r="Q504" s="86"/>
      <c r="R504" s="86"/>
      <c r="S504" s="86"/>
      <c r="T504" s="86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  <c r="AH504" s="86"/>
      <c r="AI504" s="86"/>
      <c r="AJ504" s="86"/>
      <c r="AK504" s="86"/>
      <c r="AL504" s="86"/>
      <c r="AM504" s="95"/>
      <c r="AN504" s="86"/>
    </row>
    <row r="505" spans="1:40" ht="45" customHeight="1" x14ac:dyDescent="0.25">
      <c r="A505" s="86"/>
      <c r="B505" s="86"/>
      <c r="C505" s="86"/>
      <c r="D505" s="86"/>
      <c r="E505" s="86"/>
      <c r="F505" s="86"/>
      <c r="G505" s="86"/>
      <c r="H505" s="86"/>
      <c r="I505" s="86"/>
      <c r="J505" s="86"/>
      <c r="K505" s="86"/>
      <c r="L505" s="102"/>
      <c r="M505" s="86"/>
      <c r="N505" s="86"/>
      <c r="O505" s="86"/>
      <c r="P505" s="86"/>
      <c r="Q505" s="86"/>
      <c r="R505" s="86"/>
      <c r="S505" s="86"/>
      <c r="T505" s="86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  <c r="AH505" s="86"/>
      <c r="AI505" s="86"/>
      <c r="AJ505" s="86"/>
      <c r="AK505" s="86"/>
      <c r="AL505" s="86"/>
      <c r="AM505" s="95"/>
      <c r="AN505" s="86"/>
    </row>
    <row r="506" spans="1:40" ht="45" customHeight="1" x14ac:dyDescent="0.25">
      <c r="A506" s="86"/>
      <c r="B506" s="86"/>
      <c r="C506" s="86"/>
      <c r="D506" s="86"/>
      <c r="E506" s="86"/>
      <c r="F506" s="86"/>
      <c r="G506" s="86"/>
      <c r="H506" s="86"/>
      <c r="I506" s="86"/>
      <c r="J506" s="86"/>
      <c r="K506" s="86"/>
      <c r="L506" s="102"/>
      <c r="M506" s="86"/>
      <c r="N506" s="86"/>
      <c r="O506" s="86"/>
      <c r="P506" s="86"/>
      <c r="Q506" s="86"/>
      <c r="R506" s="86"/>
      <c r="S506" s="86"/>
      <c r="T506" s="86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  <c r="AH506" s="86"/>
      <c r="AI506" s="86"/>
      <c r="AJ506" s="86"/>
      <c r="AK506" s="86"/>
      <c r="AL506" s="86"/>
      <c r="AM506" s="95"/>
      <c r="AN506" s="86"/>
    </row>
    <row r="507" spans="1:40" ht="45" customHeight="1" x14ac:dyDescent="0.25">
      <c r="A507" s="86"/>
      <c r="B507" s="86"/>
      <c r="C507" s="86"/>
      <c r="D507" s="86"/>
      <c r="E507" s="86"/>
      <c r="F507" s="86"/>
      <c r="G507" s="86"/>
      <c r="H507" s="86"/>
      <c r="I507" s="86"/>
      <c r="J507" s="86"/>
      <c r="K507" s="86"/>
      <c r="L507" s="102"/>
      <c r="M507" s="86"/>
      <c r="N507" s="86"/>
      <c r="O507" s="86"/>
      <c r="P507" s="86"/>
      <c r="Q507" s="86"/>
      <c r="R507" s="86"/>
      <c r="S507" s="86"/>
      <c r="T507" s="86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  <c r="AH507" s="86"/>
      <c r="AI507" s="86"/>
      <c r="AJ507" s="86"/>
      <c r="AK507" s="86"/>
      <c r="AL507" s="86"/>
      <c r="AM507" s="95"/>
      <c r="AN507" s="86"/>
    </row>
    <row r="508" spans="1:40" ht="45" customHeight="1" x14ac:dyDescent="0.25">
      <c r="A508" s="86"/>
      <c r="B508" s="86"/>
      <c r="C508" s="86"/>
      <c r="D508" s="86"/>
      <c r="E508" s="86"/>
      <c r="F508" s="86"/>
      <c r="G508" s="86"/>
      <c r="H508" s="86"/>
      <c r="I508" s="86"/>
      <c r="J508" s="86"/>
      <c r="K508" s="86"/>
      <c r="L508" s="102"/>
      <c r="M508" s="86"/>
      <c r="N508" s="86"/>
      <c r="O508" s="86"/>
      <c r="P508" s="86"/>
      <c r="Q508" s="86"/>
      <c r="R508" s="86"/>
      <c r="S508" s="86"/>
      <c r="T508" s="86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  <c r="AH508" s="86"/>
      <c r="AI508" s="86"/>
      <c r="AJ508" s="86"/>
      <c r="AK508" s="86"/>
      <c r="AL508" s="86"/>
      <c r="AM508" s="95"/>
      <c r="AN508" s="86"/>
    </row>
    <row r="509" spans="1:40" ht="45" customHeight="1" x14ac:dyDescent="0.25">
      <c r="A509" s="86"/>
      <c r="B509" s="86"/>
      <c r="C509" s="86"/>
      <c r="D509" s="86"/>
      <c r="E509" s="86"/>
      <c r="F509" s="86"/>
      <c r="G509" s="86"/>
      <c r="H509" s="86"/>
      <c r="I509" s="86"/>
      <c r="J509" s="86"/>
      <c r="K509" s="86"/>
      <c r="L509" s="102"/>
      <c r="M509" s="86"/>
      <c r="N509" s="86"/>
      <c r="O509" s="86"/>
      <c r="P509" s="86"/>
      <c r="Q509" s="86"/>
      <c r="R509" s="86"/>
      <c r="S509" s="86"/>
      <c r="T509" s="86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  <c r="AH509" s="86"/>
      <c r="AI509" s="86"/>
      <c r="AJ509" s="86"/>
      <c r="AK509" s="86"/>
      <c r="AL509" s="86"/>
      <c r="AM509" s="95"/>
      <c r="AN509" s="86"/>
    </row>
    <row r="510" spans="1:40" ht="45" customHeight="1" x14ac:dyDescent="0.25">
      <c r="A510" s="86"/>
      <c r="B510" s="86"/>
      <c r="C510" s="86"/>
      <c r="D510" s="86"/>
      <c r="E510" s="86"/>
      <c r="F510" s="86"/>
      <c r="G510" s="86"/>
      <c r="H510" s="86"/>
      <c r="I510" s="86"/>
      <c r="J510" s="86"/>
      <c r="K510" s="86"/>
      <c r="L510" s="102"/>
      <c r="M510" s="86"/>
      <c r="N510" s="86"/>
      <c r="O510" s="86"/>
      <c r="P510" s="86"/>
      <c r="Q510" s="86"/>
      <c r="R510" s="86"/>
      <c r="S510" s="86"/>
      <c r="T510" s="86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  <c r="AH510" s="86"/>
      <c r="AI510" s="86"/>
      <c r="AJ510" s="86"/>
      <c r="AK510" s="86"/>
      <c r="AL510" s="86"/>
      <c r="AM510" s="95"/>
      <c r="AN510" s="86"/>
    </row>
    <row r="511" spans="1:40" ht="45" customHeight="1" x14ac:dyDescent="0.25">
      <c r="A511" s="86"/>
      <c r="B511" s="86"/>
      <c r="C511" s="86"/>
      <c r="D511" s="86"/>
      <c r="E511" s="86"/>
      <c r="F511" s="86"/>
      <c r="G511" s="86"/>
      <c r="H511" s="86"/>
      <c r="I511" s="86"/>
      <c r="J511" s="86"/>
      <c r="K511" s="86"/>
      <c r="L511" s="102"/>
      <c r="M511" s="86"/>
      <c r="N511" s="86"/>
      <c r="O511" s="86"/>
      <c r="P511" s="86"/>
      <c r="Q511" s="86"/>
      <c r="R511" s="86"/>
      <c r="S511" s="86"/>
      <c r="T511" s="86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  <c r="AH511" s="86"/>
      <c r="AI511" s="86"/>
      <c r="AJ511" s="86"/>
      <c r="AK511" s="86"/>
      <c r="AL511" s="86"/>
      <c r="AM511" s="95"/>
      <c r="AN511" s="86"/>
    </row>
    <row r="512" spans="1:40" ht="45" customHeight="1" x14ac:dyDescent="0.25">
      <c r="A512" s="86"/>
      <c r="B512" s="86"/>
      <c r="C512" s="86"/>
      <c r="D512" s="86"/>
      <c r="E512" s="86"/>
      <c r="F512" s="86"/>
      <c r="G512" s="86"/>
      <c r="H512" s="86"/>
      <c r="I512" s="86"/>
      <c r="J512" s="86"/>
      <c r="K512" s="86"/>
      <c r="L512" s="102"/>
      <c r="M512" s="86"/>
      <c r="N512" s="86"/>
      <c r="O512" s="86"/>
      <c r="P512" s="86"/>
      <c r="Q512" s="86"/>
      <c r="R512" s="86"/>
      <c r="S512" s="86"/>
      <c r="T512" s="86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  <c r="AH512" s="86"/>
      <c r="AI512" s="86"/>
      <c r="AJ512" s="86"/>
      <c r="AK512" s="86"/>
      <c r="AL512" s="86"/>
      <c r="AM512" s="95"/>
      <c r="AN512" s="86"/>
    </row>
    <row r="513" spans="1:40" ht="45" customHeight="1" x14ac:dyDescent="0.25">
      <c r="A513" s="86"/>
      <c r="B513" s="86"/>
      <c r="C513" s="86"/>
      <c r="D513" s="86"/>
      <c r="E513" s="86"/>
      <c r="F513" s="86"/>
      <c r="G513" s="86"/>
      <c r="H513" s="86"/>
      <c r="I513" s="86"/>
      <c r="J513" s="86"/>
      <c r="K513" s="86"/>
      <c r="L513" s="102"/>
      <c r="M513" s="86"/>
      <c r="N513" s="86"/>
      <c r="O513" s="86"/>
      <c r="P513" s="86"/>
      <c r="Q513" s="86"/>
      <c r="R513" s="86"/>
      <c r="S513" s="86"/>
      <c r="T513" s="86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  <c r="AH513" s="86"/>
      <c r="AI513" s="86"/>
      <c r="AJ513" s="86"/>
      <c r="AK513" s="86"/>
      <c r="AL513" s="86"/>
      <c r="AM513" s="95"/>
      <c r="AN513" s="86"/>
    </row>
    <row r="514" spans="1:40" ht="45" customHeight="1" x14ac:dyDescent="0.25">
      <c r="A514" s="86"/>
      <c r="B514" s="86"/>
      <c r="C514" s="86"/>
      <c r="D514" s="86"/>
      <c r="E514" s="86"/>
      <c r="F514" s="86"/>
      <c r="G514" s="86"/>
      <c r="H514" s="86"/>
      <c r="I514" s="86"/>
      <c r="J514" s="86"/>
      <c r="K514" s="86"/>
      <c r="L514" s="102"/>
      <c r="M514" s="86"/>
      <c r="N514" s="86"/>
      <c r="O514" s="86"/>
      <c r="P514" s="86"/>
      <c r="Q514" s="86"/>
      <c r="R514" s="86"/>
      <c r="S514" s="86"/>
      <c r="T514" s="86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  <c r="AH514" s="86"/>
      <c r="AI514" s="86"/>
      <c r="AJ514" s="86"/>
      <c r="AK514" s="86"/>
      <c r="AL514" s="86"/>
      <c r="AM514" s="95"/>
      <c r="AN514" s="86"/>
    </row>
    <row r="515" spans="1:40" ht="45" customHeight="1" x14ac:dyDescent="0.25">
      <c r="A515" s="86"/>
      <c r="B515" s="86"/>
      <c r="C515" s="86"/>
      <c r="D515" s="86"/>
      <c r="E515" s="86"/>
      <c r="F515" s="86"/>
      <c r="G515" s="86"/>
      <c r="H515" s="86"/>
      <c r="I515" s="86"/>
      <c r="J515" s="86"/>
      <c r="K515" s="86"/>
      <c r="L515" s="102"/>
      <c r="M515" s="86"/>
      <c r="N515" s="86"/>
      <c r="O515" s="86"/>
      <c r="P515" s="86"/>
      <c r="Q515" s="86"/>
      <c r="R515" s="86"/>
      <c r="S515" s="86"/>
      <c r="T515" s="86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  <c r="AH515" s="86"/>
      <c r="AI515" s="86"/>
      <c r="AJ515" s="86"/>
      <c r="AK515" s="86"/>
      <c r="AL515" s="86"/>
      <c r="AM515" s="95"/>
      <c r="AN515" s="86"/>
    </row>
    <row r="516" spans="1:40" ht="45" customHeight="1" x14ac:dyDescent="0.25">
      <c r="A516" s="86"/>
      <c r="B516" s="86"/>
      <c r="C516" s="86"/>
      <c r="D516" s="86"/>
      <c r="E516" s="86"/>
      <c r="F516" s="86"/>
      <c r="G516" s="86"/>
      <c r="H516" s="86"/>
      <c r="I516" s="86"/>
      <c r="J516" s="86"/>
      <c r="K516" s="86"/>
      <c r="L516" s="102"/>
      <c r="M516" s="86"/>
      <c r="N516" s="86"/>
      <c r="O516" s="86"/>
      <c r="P516" s="86"/>
      <c r="Q516" s="86"/>
      <c r="R516" s="86"/>
      <c r="S516" s="86"/>
      <c r="T516" s="86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  <c r="AH516" s="86"/>
      <c r="AI516" s="86"/>
      <c r="AJ516" s="86"/>
      <c r="AK516" s="86"/>
      <c r="AL516" s="86"/>
      <c r="AM516" s="95"/>
      <c r="AN516" s="86"/>
    </row>
    <row r="517" spans="1:40" ht="45" customHeight="1" x14ac:dyDescent="0.25">
      <c r="A517" s="86"/>
      <c r="B517" s="86"/>
      <c r="C517" s="86"/>
      <c r="D517" s="86"/>
      <c r="E517" s="86"/>
      <c r="F517" s="86"/>
      <c r="G517" s="86"/>
      <c r="H517" s="86"/>
      <c r="I517" s="86"/>
      <c r="J517" s="86"/>
      <c r="K517" s="86"/>
      <c r="L517" s="102"/>
      <c r="M517" s="86"/>
      <c r="N517" s="86"/>
      <c r="O517" s="86"/>
      <c r="P517" s="86"/>
      <c r="Q517" s="86"/>
      <c r="R517" s="86"/>
      <c r="S517" s="86"/>
      <c r="T517" s="86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  <c r="AH517" s="86"/>
      <c r="AI517" s="86"/>
      <c r="AJ517" s="86"/>
      <c r="AK517" s="86"/>
      <c r="AL517" s="86"/>
      <c r="AM517" s="95"/>
      <c r="AN517" s="86"/>
    </row>
    <row r="518" spans="1:40" ht="45" customHeight="1" x14ac:dyDescent="0.25">
      <c r="A518" s="86"/>
      <c r="B518" s="86"/>
      <c r="C518" s="86"/>
      <c r="D518" s="86"/>
      <c r="E518" s="86"/>
      <c r="F518" s="86"/>
      <c r="G518" s="86"/>
      <c r="H518" s="86"/>
      <c r="I518" s="86"/>
      <c r="J518" s="86"/>
      <c r="K518" s="86"/>
      <c r="L518" s="102"/>
      <c r="M518" s="86"/>
      <c r="N518" s="86"/>
      <c r="O518" s="86"/>
      <c r="P518" s="86"/>
      <c r="Q518" s="86"/>
      <c r="R518" s="86"/>
      <c r="S518" s="86"/>
      <c r="T518" s="86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  <c r="AH518" s="86"/>
      <c r="AI518" s="86"/>
      <c r="AJ518" s="86"/>
      <c r="AK518" s="86"/>
      <c r="AL518" s="86"/>
      <c r="AM518" s="95"/>
      <c r="AN518" s="86"/>
    </row>
    <row r="519" spans="1:40" ht="45" customHeight="1" x14ac:dyDescent="0.25">
      <c r="A519" s="86"/>
      <c r="B519" s="86"/>
      <c r="C519" s="86"/>
      <c r="D519" s="86"/>
      <c r="E519" s="86"/>
      <c r="F519" s="86"/>
      <c r="G519" s="86"/>
      <c r="H519" s="86"/>
      <c r="I519" s="86"/>
      <c r="J519" s="86"/>
      <c r="K519" s="86"/>
      <c r="L519" s="102"/>
      <c r="M519" s="86"/>
      <c r="N519" s="86"/>
      <c r="O519" s="86"/>
      <c r="P519" s="86"/>
      <c r="Q519" s="86"/>
      <c r="R519" s="86"/>
      <c r="S519" s="86"/>
      <c r="T519" s="86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  <c r="AH519" s="86"/>
      <c r="AI519" s="86"/>
      <c r="AJ519" s="86"/>
      <c r="AK519" s="86"/>
      <c r="AL519" s="86"/>
      <c r="AM519" s="95"/>
      <c r="AN519" s="86"/>
    </row>
    <row r="520" spans="1:40" ht="45" customHeight="1" x14ac:dyDescent="0.25">
      <c r="A520" s="86"/>
      <c r="B520" s="86"/>
      <c r="C520" s="86"/>
      <c r="D520" s="86"/>
      <c r="E520" s="86"/>
      <c r="F520" s="86"/>
      <c r="G520" s="86"/>
      <c r="H520" s="86"/>
      <c r="I520" s="86"/>
      <c r="J520" s="86"/>
      <c r="K520" s="86"/>
      <c r="L520" s="102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86"/>
      <c r="AI520" s="86"/>
      <c r="AJ520" s="86"/>
      <c r="AK520" s="86"/>
      <c r="AL520" s="86"/>
      <c r="AM520" s="95"/>
      <c r="AN520" s="86"/>
    </row>
    <row r="521" spans="1:40" ht="45" customHeight="1" x14ac:dyDescent="0.25">
      <c r="A521" s="86"/>
      <c r="B521" s="86"/>
      <c r="C521" s="86"/>
      <c r="D521" s="86"/>
      <c r="E521" s="86"/>
      <c r="F521" s="86"/>
      <c r="G521" s="86"/>
      <c r="H521" s="86"/>
      <c r="I521" s="86"/>
      <c r="J521" s="86"/>
      <c r="K521" s="86"/>
      <c r="L521" s="102"/>
      <c r="M521" s="86"/>
      <c r="N521" s="86"/>
      <c r="O521" s="86"/>
      <c r="P521" s="86"/>
      <c r="Q521" s="86"/>
      <c r="R521" s="86"/>
      <c r="S521" s="86"/>
      <c r="T521" s="86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  <c r="AH521" s="86"/>
      <c r="AI521" s="86"/>
      <c r="AJ521" s="86"/>
      <c r="AK521" s="86"/>
      <c r="AL521" s="86"/>
      <c r="AM521" s="95"/>
      <c r="AN521" s="86"/>
    </row>
    <row r="522" spans="1:40" ht="45" customHeight="1" x14ac:dyDescent="0.25">
      <c r="A522" s="86"/>
      <c r="B522" s="86"/>
      <c r="C522" s="86"/>
      <c r="D522" s="86"/>
      <c r="E522" s="86"/>
      <c r="F522" s="86"/>
      <c r="G522" s="86"/>
      <c r="H522" s="86"/>
      <c r="I522" s="86"/>
      <c r="J522" s="86"/>
      <c r="K522" s="86"/>
      <c r="L522" s="102"/>
      <c r="M522" s="86"/>
      <c r="N522" s="86"/>
      <c r="O522" s="86"/>
      <c r="P522" s="86"/>
      <c r="Q522" s="86"/>
      <c r="R522" s="86"/>
      <c r="S522" s="86"/>
      <c r="T522" s="86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  <c r="AH522" s="86"/>
      <c r="AI522" s="86"/>
      <c r="AJ522" s="86"/>
      <c r="AK522" s="86"/>
      <c r="AL522" s="86"/>
      <c r="AM522" s="95"/>
      <c r="AN522" s="86"/>
    </row>
    <row r="523" spans="1:40" ht="45" customHeight="1" x14ac:dyDescent="0.25">
      <c r="A523" s="86"/>
      <c r="B523" s="86"/>
      <c r="C523" s="86"/>
      <c r="D523" s="86"/>
      <c r="E523" s="86"/>
      <c r="F523" s="86"/>
      <c r="G523" s="86"/>
      <c r="H523" s="86"/>
      <c r="I523" s="86"/>
      <c r="J523" s="86"/>
      <c r="K523" s="86"/>
      <c r="L523" s="102"/>
      <c r="M523" s="86"/>
      <c r="N523" s="86"/>
      <c r="O523" s="86"/>
      <c r="P523" s="86"/>
      <c r="Q523" s="86"/>
      <c r="R523" s="86"/>
      <c r="S523" s="86"/>
      <c r="T523" s="86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  <c r="AH523" s="86"/>
      <c r="AI523" s="86"/>
      <c r="AJ523" s="86"/>
      <c r="AK523" s="86"/>
      <c r="AL523" s="86"/>
      <c r="AM523" s="95"/>
      <c r="AN523" s="86"/>
    </row>
    <row r="524" spans="1:40" ht="45" customHeight="1" x14ac:dyDescent="0.25">
      <c r="A524" s="86"/>
      <c r="B524" s="86"/>
      <c r="C524" s="86"/>
      <c r="D524" s="86"/>
      <c r="E524" s="86"/>
      <c r="F524" s="86"/>
      <c r="G524" s="86"/>
      <c r="H524" s="86"/>
      <c r="I524" s="86"/>
      <c r="J524" s="86"/>
      <c r="K524" s="86"/>
      <c r="L524" s="102"/>
      <c r="M524" s="86"/>
      <c r="N524" s="86"/>
      <c r="O524" s="86"/>
      <c r="P524" s="86"/>
      <c r="Q524" s="86"/>
      <c r="R524" s="86"/>
      <c r="S524" s="86"/>
      <c r="T524" s="86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  <c r="AH524" s="86"/>
      <c r="AI524" s="86"/>
      <c r="AJ524" s="86"/>
      <c r="AK524" s="86"/>
      <c r="AL524" s="86"/>
      <c r="AM524" s="95"/>
      <c r="AN524" s="86"/>
    </row>
    <row r="525" spans="1:40" ht="45" customHeight="1" x14ac:dyDescent="0.25">
      <c r="A525" s="86"/>
      <c r="B525" s="86"/>
      <c r="C525" s="86"/>
      <c r="D525" s="86"/>
      <c r="E525" s="86"/>
      <c r="F525" s="86"/>
      <c r="G525" s="86"/>
      <c r="H525" s="86"/>
      <c r="I525" s="86"/>
      <c r="J525" s="86"/>
      <c r="K525" s="86"/>
      <c r="L525" s="102"/>
      <c r="M525" s="86"/>
      <c r="N525" s="86"/>
      <c r="O525" s="86"/>
      <c r="P525" s="86"/>
      <c r="Q525" s="86"/>
      <c r="R525" s="86"/>
      <c r="S525" s="86"/>
      <c r="T525" s="86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  <c r="AH525" s="86"/>
      <c r="AI525" s="86"/>
      <c r="AJ525" s="86"/>
      <c r="AK525" s="86"/>
      <c r="AL525" s="86"/>
      <c r="AM525" s="95"/>
      <c r="AN525" s="86"/>
    </row>
    <row r="526" spans="1:40" ht="45" customHeight="1" x14ac:dyDescent="0.25">
      <c r="A526" s="86"/>
      <c r="B526" s="86"/>
      <c r="C526" s="86"/>
      <c r="D526" s="86"/>
      <c r="E526" s="86"/>
      <c r="F526" s="86"/>
      <c r="G526" s="86"/>
      <c r="H526" s="86"/>
      <c r="I526" s="86"/>
      <c r="J526" s="86"/>
      <c r="K526" s="86"/>
      <c r="L526" s="102"/>
      <c r="M526" s="86"/>
      <c r="N526" s="86"/>
      <c r="O526" s="86"/>
      <c r="P526" s="86"/>
      <c r="Q526" s="86"/>
      <c r="R526" s="86"/>
      <c r="S526" s="86"/>
      <c r="T526" s="86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  <c r="AH526" s="86"/>
      <c r="AI526" s="86"/>
      <c r="AJ526" s="86"/>
      <c r="AK526" s="86"/>
      <c r="AL526" s="86"/>
      <c r="AM526" s="95"/>
      <c r="AN526" s="86"/>
    </row>
    <row r="527" spans="1:40" ht="45" customHeight="1" x14ac:dyDescent="0.25">
      <c r="A527" s="86"/>
      <c r="B527" s="86"/>
      <c r="C527" s="86"/>
      <c r="D527" s="86"/>
      <c r="E527" s="86"/>
      <c r="F527" s="86"/>
      <c r="G527" s="86"/>
      <c r="H527" s="86"/>
      <c r="I527" s="86"/>
      <c r="J527" s="86"/>
      <c r="K527" s="86"/>
      <c r="L527" s="102"/>
      <c r="M527" s="86"/>
      <c r="N527" s="86"/>
      <c r="O527" s="86"/>
      <c r="P527" s="86"/>
      <c r="Q527" s="86"/>
      <c r="R527" s="86"/>
      <c r="S527" s="86"/>
      <c r="T527" s="86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  <c r="AH527" s="86"/>
      <c r="AI527" s="86"/>
      <c r="AJ527" s="86"/>
      <c r="AK527" s="86"/>
      <c r="AL527" s="86"/>
      <c r="AM527" s="95"/>
      <c r="AN527" s="86"/>
    </row>
    <row r="528" spans="1:40" ht="45" customHeight="1" x14ac:dyDescent="0.25">
      <c r="A528" s="86"/>
      <c r="B528" s="86"/>
      <c r="C528" s="86"/>
      <c r="D528" s="86"/>
      <c r="E528" s="86"/>
      <c r="F528" s="86"/>
      <c r="G528" s="86"/>
      <c r="H528" s="86"/>
      <c r="I528" s="86"/>
      <c r="J528" s="86"/>
      <c r="K528" s="86"/>
      <c r="L528" s="102"/>
      <c r="M528" s="86"/>
      <c r="N528" s="86"/>
      <c r="O528" s="86"/>
      <c r="P528" s="86"/>
      <c r="Q528" s="86"/>
      <c r="R528" s="86"/>
      <c r="S528" s="86"/>
      <c r="T528" s="86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  <c r="AH528" s="86"/>
      <c r="AI528" s="86"/>
      <c r="AJ528" s="86"/>
      <c r="AK528" s="86"/>
      <c r="AL528" s="86"/>
      <c r="AM528" s="95"/>
      <c r="AN528" s="86"/>
    </row>
    <row r="529" spans="1:40" ht="45" customHeight="1" x14ac:dyDescent="0.25">
      <c r="A529" s="86"/>
      <c r="B529" s="86"/>
      <c r="C529" s="86"/>
      <c r="D529" s="86"/>
      <c r="E529" s="86"/>
      <c r="F529" s="86"/>
      <c r="G529" s="86"/>
      <c r="H529" s="86"/>
      <c r="I529" s="86"/>
      <c r="J529" s="86"/>
      <c r="K529" s="86"/>
      <c r="L529" s="102"/>
      <c r="M529" s="86"/>
      <c r="N529" s="86"/>
      <c r="O529" s="86"/>
      <c r="P529" s="86"/>
      <c r="Q529" s="86"/>
      <c r="R529" s="86"/>
      <c r="S529" s="86"/>
      <c r="T529" s="86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  <c r="AH529" s="86"/>
      <c r="AI529" s="86"/>
      <c r="AJ529" s="86"/>
      <c r="AK529" s="86"/>
      <c r="AL529" s="86"/>
      <c r="AM529" s="95"/>
      <c r="AN529" s="86"/>
    </row>
    <row r="530" spans="1:40" ht="45" customHeight="1" x14ac:dyDescent="0.25">
      <c r="A530" s="86"/>
      <c r="B530" s="86"/>
      <c r="C530" s="86"/>
      <c r="D530" s="86"/>
      <c r="E530" s="86"/>
      <c r="F530" s="86"/>
      <c r="G530" s="86"/>
      <c r="H530" s="86"/>
      <c r="I530" s="86"/>
      <c r="J530" s="86"/>
      <c r="K530" s="86"/>
      <c r="L530" s="102"/>
      <c r="M530" s="86"/>
      <c r="N530" s="86"/>
      <c r="O530" s="86"/>
      <c r="P530" s="86"/>
      <c r="Q530" s="86"/>
      <c r="R530" s="86"/>
      <c r="S530" s="86"/>
      <c r="T530" s="86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  <c r="AH530" s="86"/>
      <c r="AI530" s="86"/>
      <c r="AJ530" s="86"/>
      <c r="AK530" s="86"/>
      <c r="AL530" s="86"/>
      <c r="AM530" s="95"/>
      <c r="AN530" s="86"/>
    </row>
    <row r="531" spans="1:40" ht="45" customHeight="1" x14ac:dyDescent="0.25">
      <c r="A531" s="86"/>
      <c r="B531" s="86"/>
      <c r="C531" s="86"/>
      <c r="D531" s="86"/>
      <c r="E531" s="86"/>
      <c r="F531" s="86"/>
      <c r="G531" s="86"/>
      <c r="H531" s="86"/>
      <c r="I531" s="86"/>
      <c r="J531" s="86"/>
      <c r="K531" s="86"/>
      <c r="L531" s="102"/>
      <c r="M531" s="86"/>
      <c r="N531" s="86"/>
      <c r="O531" s="86"/>
      <c r="P531" s="86"/>
      <c r="Q531" s="86"/>
      <c r="R531" s="86"/>
      <c r="S531" s="86"/>
      <c r="T531" s="86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  <c r="AH531" s="86"/>
      <c r="AI531" s="86"/>
      <c r="AJ531" s="86"/>
      <c r="AK531" s="86"/>
      <c r="AL531" s="86"/>
      <c r="AM531" s="95"/>
      <c r="AN531" s="86"/>
    </row>
    <row r="532" spans="1:40" ht="45" customHeight="1" x14ac:dyDescent="0.25">
      <c r="A532" s="86"/>
      <c r="B532" s="86"/>
      <c r="C532" s="86"/>
      <c r="D532" s="86"/>
      <c r="E532" s="86"/>
      <c r="F532" s="86"/>
      <c r="G532" s="86"/>
      <c r="H532" s="86"/>
      <c r="I532" s="86"/>
      <c r="J532" s="86"/>
      <c r="K532" s="86"/>
      <c r="L532" s="102"/>
      <c r="M532" s="86"/>
      <c r="N532" s="86"/>
      <c r="O532" s="86"/>
      <c r="P532" s="86"/>
      <c r="Q532" s="86"/>
      <c r="R532" s="86"/>
      <c r="S532" s="86"/>
      <c r="T532" s="86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  <c r="AH532" s="86"/>
      <c r="AI532" s="86"/>
      <c r="AJ532" s="86"/>
      <c r="AK532" s="86"/>
      <c r="AL532" s="86"/>
      <c r="AM532" s="95"/>
      <c r="AN532" s="86"/>
    </row>
    <row r="533" spans="1:40" ht="45" customHeight="1" x14ac:dyDescent="0.25">
      <c r="A533" s="86"/>
      <c r="B533" s="86"/>
      <c r="C533" s="86"/>
      <c r="D533" s="86"/>
      <c r="E533" s="86"/>
      <c r="F533" s="86"/>
      <c r="G533" s="86"/>
      <c r="H533" s="86"/>
      <c r="I533" s="86"/>
      <c r="J533" s="86"/>
      <c r="K533" s="86"/>
      <c r="L533" s="102"/>
      <c r="M533" s="86"/>
      <c r="N533" s="86"/>
      <c r="O533" s="86"/>
      <c r="P533" s="86"/>
      <c r="Q533" s="86"/>
      <c r="R533" s="86"/>
      <c r="S533" s="86"/>
      <c r="T533" s="86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  <c r="AH533" s="86"/>
      <c r="AI533" s="86"/>
      <c r="AJ533" s="86"/>
      <c r="AK533" s="86"/>
      <c r="AL533" s="86"/>
      <c r="AM533" s="95"/>
      <c r="AN533" s="86"/>
    </row>
    <row r="534" spans="1:40" ht="45" customHeight="1" x14ac:dyDescent="0.25">
      <c r="A534" s="86"/>
      <c r="B534" s="86"/>
      <c r="C534" s="86"/>
      <c r="D534" s="86"/>
      <c r="E534" s="86"/>
      <c r="F534" s="86"/>
      <c r="G534" s="86"/>
      <c r="H534" s="86"/>
      <c r="I534" s="86"/>
      <c r="J534" s="86"/>
      <c r="K534" s="86"/>
      <c r="L534" s="102"/>
      <c r="M534" s="86"/>
      <c r="N534" s="86"/>
      <c r="O534" s="86"/>
      <c r="P534" s="86"/>
      <c r="Q534" s="86"/>
      <c r="R534" s="86"/>
      <c r="S534" s="86"/>
      <c r="T534" s="86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  <c r="AH534" s="86"/>
      <c r="AI534" s="86"/>
      <c r="AJ534" s="86"/>
      <c r="AK534" s="86"/>
      <c r="AL534" s="86"/>
      <c r="AM534" s="95"/>
      <c r="AN534" s="86"/>
    </row>
    <row r="535" spans="1:40" ht="45" customHeight="1" x14ac:dyDescent="0.25">
      <c r="A535" s="86"/>
      <c r="B535" s="86"/>
      <c r="C535" s="86"/>
      <c r="D535" s="86"/>
      <c r="E535" s="86"/>
      <c r="F535" s="86"/>
      <c r="G535" s="86"/>
      <c r="H535" s="86"/>
      <c r="I535" s="86"/>
      <c r="J535" s="86"/>
      <c r="K535" s="86"/>
      <c r="L535" s="102"/>
      <c r="M535" s="86"/>
      <c r="N535" s="86"/>
      <c r="O535" s="86"/>
      <c r="P535" s="86"/>
      <c r="Q535" s="86"/>
      <c r="R535" s="86"/>
      <c r="S535" s="86"/>
      <c r="T535" s="86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  <c r="AH535" s="86"/>
      <c r="AI535" s="86"/>
      <c r="AJ535" s="86"/>
      <c r="AK535" s="86"/>
      <c r="AL535" s="86"/>
      <c r="AM535" s="95"/>
      <c r="AN535" s="86"/>
    </row>
    <row r="536" spans="1:40" ht="45" customHeight="1" x14ac:dyDescent="0.25">
      <c r="A536" s="86"/>
      <c r="B536" s="86"/>
      <c r="C536" s="86"/>
      <c r="D536" s="86"/>
      <c r="E536" s="86"/>
      <c r="F536" s="86"/>
      <c r="G536" s="86"/>
      <c r="H536" s="86"/>
      <c r="I536" s="86"/>
      <c r="J536" s="86"/>
      <c r="K536" s="86"/>
      <c r="L536" s="102"/>
      <c r="M536" s="86"/>
      <c r="N536" s="86"/>
      <c r="O536" s="86"/>
      <c r="P536" s="86"/>
      <c r="Q536" s="86"/>
      <c r="R536" s="86"/>
      <c r="S536" s="86"/>
      <c r="T536" s="86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  <c r="AH536" s="86"/>
      <c r="AI536" s="86"/>
      <c r="AJ536" s="86"/>
      <c r="AK536" s="86"/>
      <c r="AL536" s="86"/>
      <c r="AM536" s="95"/>
      <c r="AN536" s="86"/>
    </row>
    <row r="537" spans="1:40" ht="45" customHeight="1" x14ac:dyDescent="0.25">
      <c r="A537" s="86"/>
      <c r="B537" s="86"/>
      <c r="C537" s="86"/>
      <c r="D537" s="86"/>
      <c r="E537" s="86"/>
      <c r="F537" s="86"/>
      <c r="G537" s="86"/>
      <c r="H537" s="86"/>
      <c r="I537" s="86"/>
      <c r="J537" s="86"/>
      <c r="K537" s="86"/>
      <c r="L537" s="102"/>
      <c r="M537" s="86"/>
      <c r="N537" s="86"/>
      <c r="O537" s="86"/>
      <c r="P537" s="86"/>
      <c r="Q537" s="86"/>
      <c r="R537" s="86"/>
      <c r="S537" s="86"/>
      <c r="T537" s="86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  <c r="AH537" s="86"/>
      <c r="AI537" s="86"/>
      <c r="AJ537" s="86"/>
      <c r="AK537" s="86"/>
      <c r="AL537" s="86"/>
      <c r="AM537" s="95"/>
      <c r="AN537" s="86"/>
    </row>
    <row r="538" spans="1:40" ht="45" customHeight="1" x14ac:dyDescent="0.25">
      <c r="A538" s="86"/>
      <c r="B538" s="86"/>
      <c r="C538" s="86"/>
      <c r="D538" s="86"/>
      <c r="E538" s="86"/>
      <c r="F538" s="86"/>
      <c r="G538" s="86"/>
      <c r="H538" s="86"/>
      <c r="I538" s="86"/>
      <c r="J538" s="86"/>
      <c r="K538" s="86"/>
      <c r="L538" s="102"/>
      <c r="M538" s="86"/>
      <c r="N538" s="86"/>
      <c r="O538" s="86"/>
      <c r="P538" s="86"/>
      <c r="Q538" s="86"/>
      <c r="R538" s="86"/>
      <c r="S538" s="86"/>
      <c r="T538" s="86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  <c r="AH538" s="86"/>
      <c r="AI538" s="86"/>
      <c r="AJ538" s="86"/>
      <c r="AK538" s="86"/>
      <c r="AL538" s="86"/>
      <c r="AM538" s="95"/>
      <c r="AN538" s="86"/>
    </row>
    <row r="539" spans="1:40" ht="45" customHeight="1" x14ac:dyDescent="0.25">
      <c r="A539" s="86"/>
      <c r="B539" s="86"/>
      <c r="C539" s="86"/>
      <c r="D539" s="86"/>
      <c r="E539" s="86"/>
      <c r="F539" s="86"/>
      <c r="G539" s="86"/>
      <c r="H539" s="86"/>
      <c r="I539" s="86"/>
      <c r="J539" s="86"/>
      <c r="K539" s="86"/>
      <c r="L539" s="102"/>
      <c r="M539" s="86"/>
      <c r="N539" s="86"/>
      <c r="O539" s="86"/>
      <c r="P539" s="86"/>
      <c r="Q539" s="86"/>
      <c r="R539" s="86"/>
      <c r="S539" s="86"/>
      <c r="T539" s="86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  <c r="AH539" s="86"/>
      <c r="AI539" s="86"/>
      <c r="AJ539" s="86"/>
      <c r="AK539" s="86"/>
      <c r="AL539" s="86"/>
      <c r="AM539" s="95"/>
      <c r="AN539" s="86"/>
    </row>
    <row r="540" spans="1:40" ht="45" customHeight="1" x14ac:dyDescent="0.25">
      <c r="A540" s="86"/>
      <c r="B540" s="86"/>
      <c r="C540" s="86"/>
      <c r="D540" s="86"/>
      <c r="E540" s="86"/>
      <c r="F540" s="86"/>
      <c r="G540" s="86"/>
      <c r="H540" s="86"/>
      <c r="I540" s="86"/>
      <c r="J540" s="86"/>
      <c r="K540" s="86"/>
      <c r="L540" s="102"/>
      <c r="M540" s="86"/>
      <c r="N540" s="86"/>
      <c r="O540" s="86"/>
      <c r="P540" s="86"/>
      <c r="Q540" s="86"/>
      <c r="R540" s="86"/>
      <c r="S540" s="86"/>
      <c r="T540" s="86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  <c r="AH540" s="86"/>
      <c r="AI540" s="86"/>
      <c r="AJ540" s="86"/>
      <c r="AK540" s="86"/>
      <c r="AL540" s="86"/>
      <c r="AM540" s="95"/>
      <c r="AN540" s="86"/>
    </row>
    <row r="541" spans="1:40" ht="45" customHeight="1" x14ac:dyDescent="0.25">
      <c r="A541" s="86"/>
      <c r="B541" s="86"/>
      <c r="C541" s="86"/>
      <c r="D541" s="86"/>
      <c r="E541" s="86"/>
      <c r="F541" s="86"/>
      <c r="G541" s="86"/>
      <c r="H541" s="86"/>
      <c r="I541" s="86"/>
      <c r="J541" s="86"/>
      <c r="K541" s="86"/>
      <c r="L541" s="102"/>
      <c r="M541" s="86"/>
      <c r="N541" s="86"/>
      <c r="O541" s="86"/>
      <c r="P541" s="86"/>
      <c r="Q541" s="86"/>
      <c r="R541" s="86"/>
      <c r="S541" s="86"/>
      <c r="T541" s="86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  <c r="AH541" s="86"/>
      <c r="AI541" s="86"/>
      <c r="AJ541" s="86"/>
      <c r="AK541" s="86"/>
      <c r="AL541" s="86"/>
      <c r="AM541" s="95"/>
      <c r="AN541" s="86"/>
    </row>
    <row r="542" spans="1:40" ht="45" customHeight="1" x14ac:dyDescent="0.25">
      <c r="A542" s="86"/>
      <c r="B542" s="86"/>
      <c r="C542" s="86"/>
      <c r="D542" s="86"/>
      <c r="E542" s="86"/>
      <c r="F542" s="86"/>
      <c r="G542" s="86"/>
      <c r="H542" s="86"/>
      <c r="I542" s="86"/>
      <c r="J542" s="86"/>
      <c r="K542" s="86"/>
      <c r="L542" s="102"/>
      <c r="M542" s="86"/>
      <c r="N542" s="86"/>
      <c r="O542" s="86"/>
      <c r="P542" s="86"/>
      <c r="Q542" s="86"/>
      <c r="R542" s="86"/>
      <c r="S542" s="86"/>
      <c r="T542" s="86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  <c r="AH542" s="86"/>
      <c r="AI542" s="86"/>
      <c r="AJ542" s="86"/>
      <c r="AK542" s="86"/>
      <c r="AL542" s="86"/>
      <c r="AM542" s="95"/>
      <c r="AN542" s="86"/>
    </row>
    <row r="543" spans="1:40" ht="45" customHeight="1" x14ac:dyDescent="0.25">
      <c r="A543" s="86"/>
      <c r="B543" s="86"/>
      <c r="C543" s="86"/>
      <c r="D543" s="86"/>
      <c r="E543" s="86"/>
      <c r="F543" s="86"/>
      <c r="G543" s="86"/>
      <c r="H543" s="86"/>
      <c r="I543" s="86"/>
      <c r="J543" s="86"/>
      <c r="K543" s="86"/>
      <c r="L543" s="102"/>
      <c r="M543" s="86"/>
      <c r="N543" s="86"/>
      <c r="O543" s="86"/>
      <c r="P543" s="86"/>
      <c r="Q543" s="86"/>
      <c r="R543" s="86"/>
      <c r="S543" s="86"/>
      <c r="T543" s="86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  <c r="AH543" s="86"/>
      <c r="AI543" s="86"/>
      <c r="AJ543" s="86"/>
      <c r="AK543" s="86"/>
      <c r="AL543" s="86"/>
      <c r="AM543" s="95"/>
      <c r="AN543" s="86"/>
    </row>
    <row r="544" spans="1:40" ht="45" customHeight="1" x14ac:dyDescent="0.25">
      <c r="A544" s="86"/>
      <c r="B544" s="86"/>
      <c r="C544" s="86"/>
      <c r="D544" s="86"/>
      <c r="E544" s="86"/>
      <c r="F544" s="86"/>
      <c r="G544" s="86"/>
      <c r="H544" s="86"/>
      <c r="I544" s="86"/>
      <c r="J544" s="86"/>
      <c r="K544" s="86"/>
      <c r="L544" s="102"/>
      <c r="M544" s="86"/>
      <c r="N544" s="86"/>
      <c r="O544" s="86"/>
      <c r="P544" s="86"/>
      <c r="Q544" s="86"/>
      <c r="R544" s="86"/>
      <c r="S544" s="86"/>
      <c r="T544" s="86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  <c r="AH544" s="86"/>
      <c r="AI544" s="86"/>
      <c r="AJ544" s="86"/>
      <c r="AK544" s="86"/>
      <c r="AL544" s="86"/>
      <c r="AM544" s="95"/>
      <c r="AN544" s="86"/>
    </row>
    <row r="545" spans="1:40" ht="45" customHeight="1" x14ac:dyDescent="0.25">
      <c r="A545" s="86"/>
      <c r="B545" s="86"/>
      <c r="C545" s="86"/>
      <c r="D545" s="86"/>
      <c r="E545" s="86"/>
      <c r="F545" s="86"/>
      <c r="G545" s="86"/>
      <c r="H545" s="86"/>
      <c r="I545" s="86"/>
      <c r="J545" s="86"/>
      <c r="K545" s="86"/>
      <c r="L545" s="102"/>
      <c r="M545" s="86"/>
      <c r="N545" s="86"/>
      <c r="O545" s="86"/>
      <c r="P545" s="86"/>
      <c r="Q545" s="86"/>
      <c r="R545" s="86"/>
      <c r="S545" s="86"/>
      <c r="T545" s="86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  <c r="AH545" s="86"/>
      <c r="AI545" s="86"/>
      <c r="AJ545" s="86"/>
      <c r="AK545" s="86"/>
      <c r="AL545" s="86"/>
      <c r="AM545" s="95"/>
      <c r="AN545" s="86"/>
    </row>
    <row r="546" spans="1:40" ht="45" customHeight="1" x14ac:dyDescent="0.25">
      <c r="A546" s="86"/>
      <c r="B546" s="86"/>
      <c r="C546" s="86"/>
      <c r="D546" s="86"/>
      <c r="E546" s="86"/>
      <c r="F546" s="86"/>
      <c r="G546" s="86"/>
      <c r="H546" s="86"/>
      <c r="I546" s="86"/>
      <c r="J546" s="86"/>
      <c r="K546" s="86"/>
      <c r="L546" s="102"/>
      <c r="M546" s="86"/>
      <c r="N546" s="86"/>
      <c r="O546" s="86"/>
      <c r="P546" s="86"/>
      <c r="Q546" s="86"/>
      <c r="R546" s="86"/>
      <c r="S546" s="86"/>
      <c r="T546" s="86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  <c r="AH546" s="86"/>
      <c r="AI546" s="86"/>
      <c r="AJ546" s="86"/>
      <c r="AK546" s="86"/>
      <c r="AL546" s="86"/>
      <c r="AM546" s="95"/>
      <c r="AN546" s="86"/>
    </row>
    <row r="547" spans="1:40" ht="45" customHeight="1" x14ac:dyDescent="0.25">
      <c r="A547" s="86"/>
      <c r="B547" s="86"/>
      <c r="C547" s="86"/>
      <c r="D547" s="86"/>
      <c r="E547" s="86"/>
      <c r="F547" s="86"/>
      <c r="G547" s="86"/>
      <c r="H547" s="86"/>
      <c r="I547" s="86"/>
      <c r="J547" s="86"/>
      <c r="K547" s="86"/>
      <c r="L547" s="102"/>
      <c r="M547" s="86"/>
      <c r="N547" s="86"/>
      <c r="O547" s="86"/>
      <c r="P547" s="86"/>
      <c r="Q547" s="86"/>
      <c r="R547" s="86"/>
      <c r="S547" s="86"/>
      <c r="T547" s="86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  <c r="AH547" s="86"/>
      <c r="AI547" s="86"/>
      <c r="AJ547" s="86"/>
      <c r="AK547" s="86"/>
      <c r="AL547" s="86"/>
      <c r="AM547" s="95"/>
      <c r="AN547" s="86"/>
    </row>
    <row r="548" spans="1:40" ht="45" customHeight="1" x14ac:dyDescent="0.25">
      <c r="A548" s="86"/>
      <c r="B548" s="86"/>
      <c r="C548" s="86"/>
      <c r="D548" s="86"/>
      <c r="E548" s="86"/>
      <c r="F548" s="86"/>
      <c r="G548" s="86"/>
      <c r="H548" s="86"/>
      <c r="I548" s="86"/>
      <c r="J548" s="86"/>
      <c r="K548" s="86"/>
      <c r="L548" s="102"/>
      <c r="M548" s="86"/>
      <c r="N548" s="86"/>
      <c r="O548" s="86"/>
      <c r="P548" s="86"/>
      <c r="Q548" s="86"/>
      <c r="R548" s="86"/>
      <c r="S548" s="86"/>
      <c r="T548" s="86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  <c r="AH548" s="86"/>
      <c r="AI548" s="86"/>
      <c r="AJ548" s="86"/>
      <c r="AK548" s="86"/>
      <c r="AL548" s="86"/>
      <c r="AM548" s="95"/>
      <c r="AN548" s="86"/>
    </row>
    <row r="549" spans="1:40" ht="45" customHeight="1" x14ac:dyDescent="0.25">
      <c r="A549" s="86"/>
      <c r="B549" s="86"/>
      <c r="C549" s="86"/>
      <c r="D549" s="86"/>
      <c r="E549" s="86"/>
      <c r="F549" s="86"/>
      <c r="G549" s="86"/>
      <c r="H549" s="86"/>
      <c r="I549" s="86"/>
      <c r="J549" s="86"/>
      <c r="K549" s="86"/>
      <c r="L549" s="102"/>
      <c r="M549" s="86"/>
      <c r="N549" s="86"/>
      <c r="O549" s="86"/>
      <c r="P549" s="86"/>
      <c r="Q549" s="86"/>
      <c r="R549" s="86"/>
      <c r="S549" s="86"/>
      <c r="T549" s="86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  <c r="AH549" s="86"/>
      <c r="AI549" s="86"/>
      <c r="AJ549" s="86"/>
      <c r="AK549" s="86"/>
      <c r="AL549" s="86"/>
      <c r="AM549" s="95"/>
      <c r="AN549" s="86"/>
    </row>
    <row r="550" spans="1:40" ht="45" customHeight="1" x14ac:dyDescent="0.25">
      <c r="A550" s="86"/>
      <c r="B550" s="86"/>
      <c r="C550" s="86"/>
      <c r="D550" s="86"/>
      <c r="E550" s="86"/>
      <c r="F550" s="86"/>
      <c r="G550" s="86"/>
      <c r="H550" s="86"/>
      <c r="I550" s="86"/>
      <c r="J550" s="86"/>
      <c r="K550" s="86"/>
      <c r="L550" s="102"/>
      <c r="M550" s="86"/>
      <c r="N550" s="86"/>
      <c r="O550" s="86"/>
      <c r="P550" s="86"/>
      <c r="Q550" s="86"/>
      <c r="R550" s="86"/>
      <c r="S550" s="86"/>
      <c r="T550" s="86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  <c r="AH550" s="86"/>
      <c r="AI550" s="86"/>
      <c r="AJ550" s="86"/>
      <c r="AK550" s="86"/>
      <c r="AL550" s="86"/>
      <c r="AM550" s="95"/>
      <c r="AN550" s="86"/>
    </row>
    <row r="551" spans="1:40" ht="45" customHeight="1" x14ac:dyDescent="0.25">
      <c r="A551" s="86"/>
      <c r="B551" s="86"/>
      <c r="C551" s="86"/>
      <c r="D551" s="86"/>
      <c r="E551" s="86"/>
      <c r="F551" s="86"/>
      <c r="G551" s="86"/>
      <c r="H551" s="86"/>
      <c r="I551" s="86"/>
      <c r="J551" s="86"/>
      <c r="K551" s="86"/>
      <c r="L551" s="102"/>
      <c r="M551" s="86"/>
      <c r="N551" s="86"/>
      <c r="O551" s="86"/>
      <c r="P551" s="86"/>
      <c r="Q551" s="86"/>
      <c r="R551" s="86"/>
      <c r="S551" s="86"/>
      <c r="T551" s="86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  <c r="AH551" s="86"/>
      <c r="AI551" s="86"/>
      <c r="AJ551" s="86"/>
      <c r="AK551" s="86"/>
      <c r="AL551" s="86"/>
      <c r="AM551" s="95"/>
      <c r="AN551" s="86"/>
    </row>
    <row r="552" spans="1:40" ht="45" customHeight="1" x14ac:dyDescent="0.25">
      <c r="A552" s="86"/>
      <c r="B552" s="86"/>
      <c r="C552" s="86"/>
      <c r="D552" s="86"/>
      <c r="E552" s="86"/>
      <c r="F552" s="86"/>
      <c r="G552" s="86"/>
      <c r="H552" s="86"/>
      <c r="I552" s="86"/>
      <c r="J552" s="86"/>
      <c r="K552" s="86"/>
      <c r="L552" s="102"/>
      <c r="M552" s="86"/>
      <c r="N552" s="86"/>
      <c r="O552" s="86"/>
      <c r="P552" s="86"/>
      <c r="Q552" s="86"/>
      <c r="R552" s="86"/>
      <c r="S552" s="86"/>
      <c r="T552" s="86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  <c r="AH552" s="86"/>
      <c r="AI552" s="86"/>
      <c r="AJ552" s="86"/>
      <c r="AK552" s="86"/>
      <c r="AL552" s="86"/>
      <c r="AM552" s="95"/>
      <c r="AN552" s="86"/>
    </row>
    <row r="553" spans="1:40" ht="45" customHeight="1" x14ac:dyDescent="0.25">
      <c r="A553" s="86"/>
      <c r="B553" s="86"/>
      <c r="C553" s="86"/>
      <c r="D553" s="86"/>
      <c r="E553" s="86"/>
      <c r="F553" s="86"/>
      <c r="G553" s="86"/>
      <c r="H553" s="86"/>
      <c r="I553" s="86"/>
      <c r="J553" s="86"/>
      <c r="K553" s="86"/>
      <c r="L553" s="102"/>
      <c r="M553" s="86"/>
      <c r="N553" s="86"/>
      <c r="O553" s="86"/>
      <c r="P553" s="86"/>
      <c r="Q553" s="86"/>
      <c r="R553" s="86"/>
      <c r="S553" s="86"/>
      <c r="T553" s="86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  <c r="AH553" s="86"/>
      <c r="AI553" s="86"/>
      <c r="AJ553" s="86"/>
      <c r="AK553" s="86"/>
      <c r="AL553" s="86"/>
      <c r="AM553" s="95"/>
      <c r="AN553" s="86"/>
    </row>
    <row r="554" spans="1:40" ht="45" customHeight="1" x14ac:dyDescent="0.25">
      <c r="A554" s="86"/>
      <c r="B554" s="86"/>
      <c r="C554" s="86"/>
      <c r="D554" s="86"/>
      <c r="E554" s="86"/>
      <c r="F554" s="86"/>
      <c r="G554" s="86"/>
      <c r="H554" s="86"/>
      <c r="I554" s="86"/>
      <c r="J554" s="86"/>
      <c r="K554" s="86"/>
      <c r="L554" s="102"/>
      <c r="M554" s="86"/>
      <c r="N554" s="86"/>
      <c r="O554" s="86"/>
      <c r="P554" s="86"/>
      <c r="Q554" s="86"/>
      <c r="R554" s="86"/>
      <c r="S554" s="86"/>
      <c r="T554" s="86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  <c r="AH554" s="86"/>
      <c r="AI554" s="86"/>
      <c r="AJ554" s="86"/>
      <c r="AK554" s="86"/>
      <c r="AL554" s="86"/>
      <c r="AM554" s="95"/>
      <c r="AN554" s="86"/>
    </row>
    <row r="555" spans="1:40" ht="45" customHeight="1" x14ac:dyDescent="0.25">
      <c r="A555" s="86"/>
      <c r="B555" s="86"/>
      <c r="C555" s="86"/>
      <c r="D555" s="86"/>
      <c r="E555" s="86"/>
      <c r="F555" s="86"/>
      <c r="G555" s="86"/>
      <c r="H555" s="86"/>
      <c r="I555" s="86"/>
      <c r="J555" s="86"/>
      <c r="K555" s="86"/>
      <c r="L555" s="102"/>
      <c r="M555" s="86"/>
      <c r="N555" s="86"/>
      <c r="O555" s="86"/>
      <c r="P555" s="86"/>
      <c r="Q555" s="86"/>
      <c r="R555" s="86"/>
      <c r="S555" s="86"/>
      <c r="T555" s="86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  <c r="AH555" s="86"/>
      <c r="AI555" s="86"/>
      <c r="AJ555" s="86"/>
      <c r="AK555" s="86"/>
      <c r="AL555" s="86"/>
      <c r="AM555" s="95"/>
      <c r="AN555" s="86"/>
    </row>
    <row r="556" spans="1:40" ht="45" customHeight="1" x14ac:dyDescent="0.25">
      <c r="A556" s="86"/>
      <c r="B556" s="86"/>
      <c r="C556" s="86"/>
      <c r="D556" s="86"/>
      <c r="E556" s="86"/>
      <c r="F556" s="86"/>
      <c r="G556" s="86"/>
      <c r="H556" s="86"/>
      <c r="I556" s="86"/>
      <c r="J556" s="86"/>
      <c r="K556" s="86"/>
      <c r="L556" s="102"/>
      <c r="M556" s="86"/>
      <c r="N556" s="86"/>
      <c r="O556" s="86"/>
      <c r="P556" s="86"/>
      <c r="Q556" s="86"/>
      <c r="R556" s="86"/>
      <c r="S556" s="86"/>
      <c r="T556" s="86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  <c r="AH556" s="86"/>
      <c r="AI556" s="86"/>
      <c r="AJ556" s="86"/>
      <c r="AK556" s="86"/>
      <c r="AL556" s="86"/>
      <c r="AM556" s="95"/>
      <c r="AN556" s="86"/>
    </row>
    <row r="557" spans="1:40" ht="45" customHeight="1" x14ac:dyDescent="0.25">
      <c r="A557" s="86"/>
      <c r="B557" s="86"/>
      <c r="C557" s="86"/>
      <c r="D557" s="86"/>
      <c r="E557" s="86"/>
      <c r="F557" s="86"/>
      <c r="G557" s="86"/>
      <c r="H557" s="86"/>
      <c r="I557" s="86"/>
      <c r="J557" s="86"/>
      <c r="K557" s="86"/>
      <c r="L557" s="102"/>
      <c r="M557" s="86"/>
      <c r="N557" s="86"/>
      <c r="O557" s="86"/>
      <c r="P557" s="86"/>
      <c r="Q557" s="86"/>
      <c r="R557" s="86"/>
      <c r="S557" s="86"/>
      <c r="T557" s="86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  <c r="AH557" s="86"/>
      <c r="AI557" s="86"/>
      <c r="AJ557" s="86"/>
      <c r="AK557" s="86"/>
      <c r="AL557" s="86"/>
      <c r="AM557" s="95"/>
      <c r="AN557" s="86"/>
    </row>
    <row r="558" spans="1:40" ht="45" customHeight="1" x14ac:dyDescent="0.25">
      <c r="A558" s="86"/>
      <c r="B558" s="86"/>
      <c r="C558" s="86"/>
      <c r="D558" s="86"/>
      <c r="E558" s="86"/>
      <c r="F558" s="86"/>
      <c r="G558" s="86"/>
      <c r="H558" s="86"/>
      <c r="I558" s="86"/>
      <c r="J558" s="86"/>
      <c r="K558" s="86"/>
      <c r="L558" s="102"/>
      <c r="M558" s="86"/>
      <c r="N558" s="86"/>
      <c r="O558" s="86"/>
      <c r="P558" s="86"/>
      <c r="Q558" s="86"/>
      <c r="R558" s="86"/>
      <c r="S558" s="86"/>
      <c r="T558" s="86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  <c r="AH558" s="86"/>
      <c r="AI558" s="86"/>
      <c r="AJ558" s="86"/>
      <c r="AK558" s="86"/>
      <c r="AL558" s="86"/>
      <c r="AM558" s="95"/>
      <c r="AN558" s="86"/>
    </row>
    <row r="559" spans="1:40" ht="45" customHeight="1" x14ac:dyDescent="0.25">
      <c r="A559" s="86"/>
      <c r="B559" s="86"/>
      <c r="C559" s="86"/>
      <c r="D559" s="86"/>
      <c r="E559" s="86"/>
      <c r="F559" s="86"/>
      <c r="G559" s="86"/>
      <c r="H559" s="86"/>
      <c r="I559" s="86"/>
      <c r="J559" s="86"/>
      <c r="K559" s="86"/>
      <c r="L559" s="102"/>
      <c r="M559" s="86"/>
      <c r="N559" s="86"/>
      <c r="O559" s="86"/>
      <c r="P559" s="86"/>
      <c r="Q559" s="86"/>
      <c r="R559" s="86"/>
      <c r="S559" s="86"/>
      <c r="T559" s="86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  <c r="AH559" s="86"/>
      <c r="AI559" s="86"/>
      <c r="AJ559" s="86"/>
      <c r="AK559" s="86"/>
      <c r="AL559" s="86"/>
      <c r="AM559" s="95"/>
      <c r="AN559" s="86"/>
    </row>
    <row r="560" spans="1:40" ht="45" customHeight="1" x14ac:dyDescent="0.25">
      <c r="A560" s="86"/>
      <c r="B560" s="86"/>
      <c r="C560" s="86"/>
      <c r="D560" s="86"/>
      <c r="E560" s="86"/>
      <c r="F560" s="86"/>
      <c r="G560" s="86"/>
      <c r="H560" s="86"/>
      <c r="I560" s="86"/>
      <c r="J560" s="86"/>
      <c r="K560" s="86"/>
      <c r="L560" s="102"/>
      <c r="M560" s="86"/>
      <c r="N560" s="86"/>
      <c r="O560" s="86"/>
      <c r="P560" s="86"/>
      <c r="Q560" s="86"/>
      <c r="R560" s="86"/>
      <c r="S560" s="86"/>
      <c r="T560" s="86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  <c r="AH560" s="86"/>
      <c r="AI560" s="86"/>
      <c r="AJ560" s="86"/>
      <c r="AK560" s="86"/>
      <c r="AL560" s="86"/>
      <c r="AM560" s="95"/>
      <c r="AN560" s="86"/>
    </row>
    <row r="561" spans="1:40" ht="45" customHeight="1" x14ac:dyDescent="0.25">
      <c r="A561" s="86"/>
      <c r="B561" s="86"/>
      <c r="C561" s="86"/>
      <c r="D561" s="86"/>
      <c r="E561" s="86"/>
      <c r="F561" s="86"/>
      <c r="G561" s="86"/>
      <c r="H561" s="86"/>
      <c r="I561" s="86"/>
      <c r="J561" s="86"/>
      <c r="K561" s="86"/>
      <c r="L561" s="102"/>
      <c r="M561" s="86"/>
      <c r="N561" s="86"/>
      <c r="O561" s="86"/>
      <c r="P561" s="86"/>
      <c r="Q561" s="86"/>
      <c r="R561" s="86"/>
      <c r="S561" s="86"/>
      <c r="T561" s="86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  <c r="AH561" s="86"/>
      <c r="AI561" s="86"/>
      <c r="AJ561" s="86"/>
      <c r="AK561" s="86"/>
      <c r="AL561" s="86"/>
      <c r="AM561" s="95"/>
      <c r="AN561" s="86"/>
    </row>
    <row r="562" spans="1:40" ht="45" customHeight="1" x14ac:dyDescent="0.25">
      <c r="A562" s="86"/>
      <c r="B562" s="86"/>
      <c r="C562" s="86"/>
      <c r="D562" s="86"/>
      <c r="E562" s="86"/>
      <c r="F562" s="86"/>
      <c r="G562" s="86"/>
      <c r="H562" s="86"/>
      <c r="I562" s="86"/>
      <c r="J562" s="86"/>
      <c r="K562" s="86"/>
      <c r="L562" s="102"/>
      <c r="M562" s="86"/>
      <c r="N562" s="86"/>
      <c r="O562" s="86"/>
      <c r="P562" s="86"/>
      <c r="Q562" s="86"/>
      <c r="R562" s="86"/>
      <c r="S562" s="86"/>
      <c r="T562" s="86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  <c r="AH562" s="86"/>
      <c r="AI562" s="86"/>
      <c r="AJ562" s="86"/>
      <c r="AK562" s="86"/>
      <c r="AL562" s="86"/>
      <c r="AM562" s="95"/>
      <c r="AN562" s="86"/>
    </row>
    <row r="563" spans="1:40" ht="45" customHeight="1" x14ac:dyDescent="0.25">
      <c r="A563" s="86"/>
      <c r="B563" s="86"/>
      <c r="C563" s="86"/>
      <c r="D563" s="86"/>
      <c r="E563" s="86"/>
      <c r="F563" s="86"/>
      <c r="G563" s="86"/>
      <c r="H563" s="86"/>
      <c r="I563" s="86"/>
      <c r="J563" s="86"/>
      <c r="K563" s="86"/>
      <c r="L563" s="102"/>
      <c r="M563" s="86"/>
      <c r="N563" s="86"/>
      <c r="O563" s="86"/>
      <c r="P563" s="86"/>
      <c r="Q563" s="86"/>
      <c r="R563" s="86"/>
      <c r="S563" s="86"/>
      <c r="T563" s="86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  <c r="AH563" s="86"/>
      <c r="AI563" s="86"/>
      <c r="AJ563" s="86"/>
      <c r="AK563" s="86"/>
      <c r="AL563" s="86"/>
      <c r="AM563" s="95"/>
      <c r="AN563" s="86"/>
    </row>
    <row r="564" spans="1:40" ht="45" customHeight="1" x14ac:dyDescent="0.25">
      <c r="A564" s="86"/>
      <c r="B564" s="86"/>
      <c r="C564" s="86"/>
      <c r="D564" s="86"/>
      <c r="E564" s="86"/>
      <c r="F564" s="86"/>
      <c r="G564" s="86"/>
      <c r="H564" s="86"/>
      <c r="I564" s="86"/>
      <c r="J564" s="86"/>
      <c r="K564" s="86"/>
      <c r="L564" s="102"/>
      <c r="M564" s="86"/>
      <c r="N564" s="86"/>
      <c r="O564" s="86"/>
      <c r="P564" s="86"/>
      <c r="Q564" s="86"/>
      <c r="R564" s="86"/>
      <c r="S564" s="86"/>
      <c r="T564" s="86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  <c r="AH564" s="86"/>
      <c r="AI564" s="86"/>
      <c r="AJ564" s="86"/>
      <c r="AK564" s="86"/>
      <c r="AL564" s="86"/>
      <c r="AM564" s="95"/>
      <c r="AN564" s="86"/>
    </row>
    <row r="565" spans="1:40" ht="45" customHeight="1" x14ac:dyDescent="0.25">
      <c r="A565" s="86"/>
      <c r="B565" s="86"/>
      <c r="C565" s="86"/>
      <c r="D565" s="86"/>
      <c r="E565" s="86"/>
      <c r="F565" s="86"/>
      <c r="G565" s="86"/>
      <c r="H565" s="86"/>
      <c r="I565" s="86"/>
      <c r="J565" s="86"/>
      <c r="K565" s="86"/>
      <c r="L565" s="102"/>
      <c r="M565" s="86"/>
      <c r="N565" s="86"/>
      <c r="O565" s="86"/>
      <c r="P565" s="86"/>
      <c r="Q565" s="86"/>
      <c r="R565" s="86"/>
      <c r="S565" s="86"/>
      <c r="T565" s="86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  <c r="AH565" s="86"/>
      <c r="AI565" s="86"/>
      <c r="AJ565" s="86"/>
      <c r="AK565" s="86"/>
      <c r="AL565" s="86"/>
      <c r="AM565" s="95"/>
      <c r="AN565" s="86"/>
    </row>
    <row r="566" spans="1:40" ht="45" customHeight="1" x14ac:dyDescent="0.25">
      <c r="A566" s="86"/>
      <c r="B566" s="86"/>
      <c r="C566" s="86"/>
      <c r="D566" s="86"/>
      <c r="E566" s="86"/>
      <c r="F566" s="86"/>
      <c r="G566" s="86"/>
      <c r="H566" s="86"/>
      <c r="I566" s="86"/>
      <c r="J566" s="86"/>
      <c r="K566" s="86"/>
      <c r="L566" s="102"/>
      <c r="M566" s="86"/>
      <c r="N566" s="86"/>
      <c r="O566" s="86"/>
      <c r="P566" s="86"/>
      <c r="Q566" s="86"/>
      <c r="R566" s="86"/>
      <c r="S566" s="86"/>
      <c r="T566" s="86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  <c r="AH566" s="86"/>
      <c r="AI566" s="86"/>
      <c r="AJ566" s="86"/>
      <c r="AK566" s="86"/>
      <c r="AL566" s="86"/>
      <c r="AM566" s="95"/>
      <c r="AN566" s="86"/>
    </row>
    <row r="567" spans="1:40" ht="45" customHeight="1" x14ac:dyDescent="0.25">
      <c r="A567" s="86"/>
      <c r="B567" s="86"/>
      <c r="C567" s="86"/>
      <c r="D567" s="86"/>
      <c r="E567" s="86"/>
      <c r="F567" s="86"/>
      <c r="G567" s="86"/>
      <c r="H567" s="86"/>
      <c r="I567" s="86"/>
      <c r="J567" s="86"/>
      <c r="K567" s="86"/>
      <c r="L567" s="102"/>
      <c r="M567" s="86"/>
      <c r="N567" s="86"/>
      <c r="O567" s="86"/>
      <c r="P567" s="86"/>
      <c r="Q567" s="86"/>
      <c r="R567" s="86"/>
      <c r="S567" s="86"/>
      <c r="T567" s="86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  <c r="AH567" s="86"/>
      <c r="AI567" s="86"/>
      <c r="AJ567" s="86"/>
      <c r="AK567" s="86"/>
      <c r="AL567" s="86"/>
      <c r="AM567" s="95"/>
      <c r="AN567" s="86"/>
    </row>
    <row r="568" spans="1:40" ht="45" customHeight="1" x14ac:dyDescent="0.25">
      <c r="A568" s="86"/>
      <c r="B568" s="86"/>
      <c r="C568" s="86"/>
      <c r="D568" s="86"/>
      <c r="E568" s="86"/>
      <c r="F568" s="86"/>
      <c r="G568" s="86"/>
      <c r="H568" s="86"/>
      <c r="I568" s="86"/>
      <c r="J568" s="86"/>
      <c r="K568" s="86"/>
      <c r="L568" s="102"/>
      <c r="M568" s="86"/>
      <c r="N568" s="86"/>
      <c r="O568" s="86"/>
      <c r="P568" s="86"/>
      <c r="Q568" s="86"/>
      <c r="R568" s="86"/>
      <c r="S568" s="86"/>
      <c r="T568" s="86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  <c r="AH568" s="86"/>
      <c r="AI568" s="86"/>
      <c r="AJ568" s="86"/>
      <c r="AK568" s="86"/>
      <c r="AL568" s="86"/>
      <c r="AM568" s="95"/>
      <c r="AN568" s="86"/>
    </row>
    <row r="569" spans="1:40" ht="45" customHeight="1" x14ac:dyDescent="0.25">
      <c r="A569" s="86"/>
      <c r="B569" s="86"/>
      <c r="C569" s="86"/>
      <c r="D569" s="86"/>
      <c r="E569" s="86"/>
      <c r="F569" s="86"/>
      <c r="G569" s="86"/>
      <c r="H569" s="86"/>
      <c r="I569" s="86"/>
      <c r="J569" s="86"/>
      <c r="K569" s="86"/>
      <c r="L569" s="102"/>
      <c r="M569" s="86"/>
      <c r="N569" s="86"/>
      <c r="O569" s="86"/>
      <c r="P569" s="86"/>
      <c r="Q569" s="86"/>
      <c r="R569" s="86"/>
      <c r="S569" s="86"/>
      <c r="T569" s="86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  <c r="AH569" s="86"/>
      <c r="AI569" s="86"/>
      <c r="AJ569" s="86"/>
      <c r="AK569" s="86"/>
      <c r="AL569" s="86"/>
      <c r="AM569" s="95"/>
      <c r="AN569" s="86"/>
    </row>
    <row r="570" spans="1:40" ht="45" customHeight="1" x14ac:dyDescent="0.25">
      <c r="A570" s="86"/>
      <c r="B570" s="86"/>
      <c r="C570" s="86"/>
      <c r="D570" s="86"/>
      <c r="E570" s="86"/>
      <c r="F570" s="86"/>
      <c r="G570" s="86"/>
      <c r="H570" s="86"/>
      <c r="I570" s="86"/>
      <c r="J570" s="86"/>
      <c r="K570" s="86"/>
      <c r="L570" s="102"/>
      <c r="M570" s="86"/>
      <c r="N570" s="86"/>
      <c r="O570" s="86"/>
      <c r="P570" s="86"/>
      <c r="Q570" s="86"/>
      <c r="R570" s="86"/>
      <c r="S570" s="86"/>
      <c r="T570" s="86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  <c r="AH570" s="86"/>
      <c r="AI570" s="86"/>
      <c r="AJ570" s="86"/>
      <c r="AK570" s="86"/>
      <c r="AL570" s="86"/>
      <c r="AM570" s="95"/>
      <c r="AN570" s="86"/>
    </row>
    <row r="571" spans="1:40" ht="45" customHeight="1" x14ac:dyDescent="0.25">
      <c r="A571" s="86"/>
      <c r="B571" s="86"/>
      <c r="C571" s="86"/>
      <c r="D571" s="86"/>
      <c r="E571" s="86"/>
      <c r="F571" s="86"/>
      <c r="G571" s="86"/>
      <c r="H571" s="86"/>
      <c r="I571" s="86"/>
      <c r="J571" s="86"/>
      <c r="K571" s="86"/>
      <c r="L571" s="102"/>
      <c r="M571" s="86"/>
      <c r="N571" s="86"/>
      <c r="O571" s="86"/>
      <c r="P571" s="86"/>
      <c r="Q571" s="86"/>
      <c r="R571" s="86"/>
      <c r="S571" s="86"/>
      <c r="T571" s="86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  <c r="AH571" s="86"/>
      <c r="AI571" s="86"/>
      <c r="AJ571" s="86"/>
      <c r="AK571" s="86"/>
      <c r="AL571" s="86"/>
      <c r="AM571" s="95"/>
      <c r="AN571" s="86"/>
    </row>
    <row r="572" spans="1:40" ht="45" customHeight="1" x14ac:dyDescent="0.25">
      <c r="A572" s="86"/>
      <c r="B572" s="86"/>
      <c r="C572" s="86"/>
      <c r="D572" s="86"/>
      <c r="E572" s="86"/>
      <c r="F572" s="86"/>
      <c r="G572" s="86"/>
      <c r="H572" s="86"/>
      <c r="I572" s="86"/>
      <c r="J572" s="86"/>
      <c r="K572" s="86"/>
      <c r="L572" s="102"/>
      <c r="M572" s="86"/>
      <c r="N572" s="86"/>
      <c r="O572" s="86"/>
      <c r="P572" s="86"/>
      <c r="Q572" s="86"/>
      <c r="R572" s="86"/>
      <c r="S572" s="86"/>
      <c r="T572" s="86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  <c r="AH572" s="86"/>
      <c r="AI572" s="86"/>
      <c r="AJ572" s="86"/>
      <c r="AK572" s="86"/>
      <c r="AL572" s="86"/>
      <c r="AM572" s="95"/>
      <c r="AN572" s="86"/>
    </row>
    <row r="573" spans="1:40" ht="45" customHeight="1" x14ac:dyDescent="0.25">
      <c r="A573" s="86"/>
      <c r="B573" s="86"/>
      <c r="C573" s="86"/>
      <c r="D573" s="86"/>
      <c r="E573" s="86"/>
      <c r="F573" s="86"/>
      <c r="G573" s="86"/>
      <c r="H573" s="86"/>
      <c r="I573" s="86"/>
      <c r="J573" s="86"/>
      <c r="K573" s="86"/>
      <c r="L573" s="102"/>
      <c r="M573" s="86"/>
      <c r="N573" s="86"/>
      <c r="O573" s="86"/>
      <c r="P573" s="86"/>
      <c r="Q573" s="86"/>
      <c r="R573" s="86"/>
      <c r="S573" s="86"/>
      <c r="T573" s="86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  <c r="AH573" s="86"/>
      <c r="AI573" s="86"/>
      <c r="AJ573" s="86"/>
      <c r="AK573" s="86"/>
      <c r="AL573" s="86"/>
      <c r="AM573" s="95"/>
      <c r="AN573" s="86"/>
    </row>
    <row r="574" spans="1:40" ht="45" customHeight="1" x14ac:dyDescent="0.25">
      <c r="A574" s="86"/>
      <c r="B574" s="86"/>
      <c r="C574" s="86"/>
      <c r="D574" s="86"/>
      <c r="E574" s="86"/>
      <c r="F574" s="86"/>
      <c r="G574" s="86"/>
      <c r="H574" s="86"/>
      <c r="I574" s="86"/>
      <c r="J574" s="86"/>
      <c r="K574" s="86"/>
      <c r="L574" s="102"/>
      <c r="M574" s="86"/>
      <c r="N574" s="86"/>
      <c r="O574" s="86"/>
      <c r="P574" s="86"/>
      <c r="Q574" s="86"/>
      <c r="R574" s="86"/>
      <c r="S574" s="86"/>
      <c r="T574" s="86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  <c r="AH574" s="86"/>
      <c r="AI574" s="86"/>
      <c r="AJ574" s="86"/>
      <c r="AK574" s="86"/>
      <c r="AL574" s="86"/>
      <c r="AM574" s="95"/>
      <c r="AN574" s="86"/>
    </row>
    <row r="575" spans="1:40" ht="45" customHeight="1" x14ac:dyDescent="0.25">
      <c r="A575" s="86"/>
      <c r="B575" s="86"/>
      <c r="C575" s="86"/>
      <c r="D575" s="86"/>
      <c r="E575" s="86"/>
      <c r="F575" s="86"/>
      <c r="G575" s="86"/>
      <c r="H575" s="86"/>
      <c r="I575" s="86"/>
      <c r="J575" s="86"/>
      <c r="K575" s="86"/>
      <c r="L575" s="102"/>
      <c r="M575" s="86"/>
      <c r="N575" s="86"/>
      <c r="O575" s="86"/>
      <c r="P575" s="86"/>
      <c r="Q575" s="86"/>
      <c r="R575" s="86"/>
      <c r="S575" s="86"/>
      <c r="T575" s="86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  <c r="AH575" s="86"/>
      <c r="AI575" s="86"/>
      <c r="AJ575" s="86"/>
      <c r="AK575" s="86"/>
      <c r="AL575" s="86"/>
      <c r="AM575" s="95"/>
      <c r="AN575" s="86"/>
    </row>
    <row r="576" spans="1:40" ht="45" customHeight="1" x14ac:dyDescent="0.25">
      <c r="A576" s="86"/>
      <c r="B576" s="86"/>
      <c r="C576" s="86"/>
      <c r="D576" s="86"/>
      <c r="E576" s="86"/>
      <c r="F576" s="86"/>
      <c r="G576" s="86"/>
      <c r="H576" s="86"/>
      <c r="I576" s="86"/>
      <c r="J576" s="86"/>
      <c r="K576" s="86"/>
      <c r="L576" s="102"/>
      <c r="M576" s="86"/>
      <c r="N576" s="86"/>
      <c r="O576" s="86"/>
      <c r="P576" s="86"/>
      <c r="Q576" s="86"/>
      <c r="R576" s="86"/>
      <c r="S576" s="86"/>
      <c r="T576" s="86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  <c r="AH576" s="86"/>
      <c r="AI576" s="86"/>
      <c r="AJ576" s="86"/>
      <c r="AK576" s="86"/>
      <c r="AL576" s="86"/>
      <c r="AM576" s="95"/>
      <c r="AN576" s="86"/>
    </row>
    <row r="577" spans="1:40" ht="45" customHeight="1" x14ac:dyDescent="0.25">
      <c r="A577" s="86"/>
      <c r="B577" s="86"/>
      <c r="C577" s="86"/>
      <c r="D577" s="86"/>
      <c r="E577" s="86"/>
      <c r="F577" s="86"/>
      <c r="G577" s="86"/>
      <c r="H577" s="86"/>
      <c r="I577" s="86"/>
      <c r="J577" s="86"/>
      <c r="K577" s="86"/>
      <c r="L577" s="102"/>
      <c r="M577" s="86"/>
      <c r="N577" s="86"/>
      <c r="O577" s="86"/>
      <c r="P577" s="86"/>
      <c r="Q577" s="86"/>
      <c r="R577" s="86"/>
      <c r="S577" s="86"/>
      <c r="T577" s="86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  <c r="AH577" s="86"/>
      <c r="AI577" s="86"/>
      <c r="AJ577" s="86"/>
      <c r="AK577" s="86"/>
      <c r="AL577" s="86"/>
      <c r="AM577" s="95"/>
      <c r="AN577" s="86"/>
    </row>
    <row r="578" spans="1:40" ht="45" customHeight="1" x14ac:dyDescent="0.25">
      <c r="A578" s="86"/>
      <c r="B578" s="86"/>
      <c r="C578" s="86"/>
      <c r="D578" s="86"/>
      <c r="E578" s="86"/>
      <c r="F578" s="86"/>
      <c r="G578" s="86"/>
      <c r="H578" s="86"/>
      <c r="I578" s="86"/>
      <c r="J578" s="86"/>
      <c r="K578" s="86"/>
      <c r="L578" s="102"/>
      <c r="M578" s="86"/>
      <c r="N578" s="86"/>
      <c r="O578" s="86"/>
      <c r="P578" s="86"/>
      <c r="Q578" s="86"/>
      <c r="R578" s="86"/>
      <c r="S578" s="86"/>
      <c r="T578" s="86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  <c r="AH578" s="86"/>
      <c r="AI578" s="86"/>
      <c r="AJ578" s="86"/>
      <c r="AK578" s="86"/>
      <c r="AL578" s="86"/>
      <c r="AM578" s="95"/>
      <c r="AN578" s="86"/>
    </row>
    <row r="579" spans="1:40" ht="45" customHeight="1" x14ac:dyDescent="0.25">
      <c r="A579" s="86"/>
      <c r="B579" s="86"/>
      <c r="C579" s="86"/>
      <c r="D579" s="86"/>
      <c r="E579" s="86"/>
      <c r="F579" s="86"/>
      <c r="G579" s="86"/>
      <c r="H579" s="86"/>
      <c r="I579" s="86"/>
      <c r="J579" s="86"/>
      <c r="K579" s="86"/>
      <c r="L579" s="102"/>
      <c r="M579" s="86"/>
      <c r="N579" s="86"/>
      <c r="O579" s="86"/>
      <c r="P579" s="86"/>
      <c r="Q579" s="86"/>
      <c r="R579" s="86"/>
      <c r="S579" s="86"/>
      <c r="T579" s="86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  <c r="AH579" s="86"/>
      <c r="AI579" s="86"/>
      <c r="AJ579" s="86"/>
      <c r="AK579" s="86"/>
      <c r="AL579" s="86"/>
      <c r="AM579" s="95"/>
      <c r="AN579" s="86"/>
    </row>
    <row r="580" spans="1:40" ht="45" customHeight="1" x14ac:dyDescent="0.25">
      <c r="A580" s="86"/>
      <c r="B580" s="86"/>
      <c r="C580" s="86"/>
      <c r="D580" s="86"/>
      <c r="E580" s="86"/>
      <c r="F580" s="86"/>
      <c r="G580" s="86"/>
      <c r="H580" s="86"/>
      <c r="I580" s="86"/>
      <c r="J580" s="86"/>
      <c r="K580" s="86"/>
      <c r="L580" s="102"/>
      <c r="M580" s="86"/>
      <c r="N580" s="86"/>
      <c r="O580" s="86"/>
      <c r="P580" s="86"/>
      <c r="Q580" s="86"/>
      <c r="R580" s="86"/>
      <c r="S580" s="86"/>
      <c r="T580" s="86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  <c r="AH580" s="86"/>
      <c r="AI580" s="86"/>
      <c r="AJ580" s="86"/>
      <c r="AK580" s="86"/>
      <c r="AL580" s="86"/>
      <c r="AM580" s="95"/>
      <c r="AN580" s="86"/>
    </row>
    <row r="581" spans="1:40" ht="45" customHeight="1" x14ac:dyDescent="0.25">
      <c r="A581" s="86"/>
      <c r="B581" s="86"/>
      <c r="C581" s="86"/>
      <c r="D581" s="86"/>
      <c r="E581" s="86"/>
      <c r="F581" s="86"/>
      <c r="G581" s="86"/>
      <c r="H581" s="86"/>
      <c r="I581" s="86"/>
      <c r="J581" s="86"/>
      <c r="K581" s="86"/>
      <c r="L581" s="102"/>
      <c r="M581" s="86"/>
      <c r="N581" s="86"/>
      <c r="O581" s="86"/>
      <c r="P581" s="86"/>
      <c r="Q581" s="86"/>
      <c r="R581" s="86"/>
      <c r="S581" s="86"/>
      <c r="T581" s="86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  <c r="AH581" s="86"/>
      <c r="AI581" s="86"/>
      <c r="AJ581" s="86"/>
      <c r="AK581" s="86"/>
      <c r="AL581" s="86"/>
      <c r="AM581" s="95"/>
      <c r="AN581" s="86"/>
    </row>
    <row r="582" spans="1:40" ht="45" customHeight="1" x14ac:dyDescent="0.25">
      <c r="A582" s="86"/>
      <c r="B582" s="86"/>
      <c r="C582" s="86"/>
      <c r="D582" s="86"/>
      <c r="E582" s="86"/>
      <c r="F582" s="86"/>
      <c r="G582" s="86"/>
      <c r="H582" s="86"/>
      <c r="I582" s="86"/>
      <c r="J582" s="86"/>
      <c r="K582" s="86"/>
      <c r="L582" s="102"/>
      <c r="M582" s="86"/>
      <c r="N582" s="86"/>
      <c r="O582" s="86"/>
      <c r="P582" s="86"/>
      <c r="Q582" s="86"/>
      <c r="R582" s="86"/>
      <c r="S582" s="86"/>
      <c r="T582" s="86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  <c r="AH582" s="86"/>
      <c r="AI582" s="86"/>
      <c r="AJ582" s="86"/>
      <c r="AK582" s="86"/>
      <c r="AL582" s="86"/>
      <c r="AM582" s="95"/>
      <c r="AN582" s="86"/>
    </row>
    <row r="583" spans="1:40" ht="45" customHeight="1" x14ac:dyDescent="0.25">
      <c r="A583" s="86"/>
      <c r="B583" s="86"/>
      <c r="C583" s="86"/>
      <c r="D583" s="86"/>
      <c r="E583" s="86"/>
      <c r="F583" s="86"/>
      <c r="G583" s="86"/>
      <c r="H583" s="86"/>
      <c r="I583" s="86"/>
      <c r="J583" s="86"/>
      <c r="K583" s="86"/>
      <c r="L583" s="102"/>
      <c r="M583" s="86"/>
      <c r="N583" s="86"/>
      <c r="O583" s="86"/>
      <c r="P583" s="86"/>
      <c r="Q583" s="86"/>
      <c r="R583" s="86"/>
      <c r="S583" s="86"/>
      <c r="T583" s="86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  <c r="AH583" s="86"/>
      <c r="AI583" s="86"/>
      <c r="AJ583" s="86"/>
      <c r="AK583" s="86"/>
      <c r="AL583" s="86"/>
      <c r="AM583" s="95"/>
      <c r="AN583" s="86"/>
    </row>
    <row r="584" spans="1:40" ht="45" customHeight="1" x14ac:dyDescent="0.25">
      <c r="A584" s="86"/>
      <c r="B584" s="86"/>
      <c r="C584" s="86"/>
      <c r="D584" s="86"/>
      <c r="E584" s="86"/>
      <c r="F584" s="86"/>
      <c r="G584" s="86"/>
      <c r="H584" s="86"/>
      <c r="I584" s="86"/>
      <c r="J584" s="86"/>
      <c r="K584" s="86"/>
      <c r="L584" s="102"/>
      <c r="M584" s="86"/>
      <c r="N584" s="86"/>
      <c r="O584" s="86"/>
      <c r="P584" s="86"/>
      <c r="Q584" s="86"/>
      <c r="R584" s="86"/>
      <c r="S584" s="86"/>
      <c r="T584" s="86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  <c r="AH584" s="86"/>
      <c r="AI584" s="86"/>
      <c r="AJ584" s="86"/>
      <c r="AK584" s="86"/>
      <c r="AL584" s="86"/>
      <c r="AM584" s="95"/>
      <c r="AN584" s="86"/>
    </row>
    <row r="585" spans="1:40" ht="45" customHeight="1" x14ac:dyDescent="0.25">
      <c r="A585" s="86"/>
      <c r="B585" s="86"/>
      <c r="C585" s="86"/>
      <c r="D585" s="86"/>
      <c r="E585" s="86"/>
      <c r="F585" s="86"/>
      <c r="G585" s="86"/>
      <c r="H585" s="86"/>
      <c r="I585" s="86"/>
      <c r="J585" s="86"/>
      <c r="K585" s="86"/>
      <c r="L585" s="102"/>
      <c r="M585" s="86"/>
      <c r="N585" s="86"/>
      <c r="O585" s="86"/>
      <c r="P585" s="86"/>
      <c r="Q585" s="86"/>
      <c r="R585" s="86"/>
      <c r="S585" s="86"/>
      <c r="T585" s="86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  <c r="AH585" s="86"/>
      <c r="AI585" s="86"/>
      <c r="AJ585" s="86"/>
      <c r="AK585" s="86"/>
      <c r="AL585" s="86"/>
      <c r="AM585" s="95"/>
      <c r="AN585" s="86"/>
    </row>
    <row r="586" spans="1:40" ht="45" customHeight="1" x14ac:dyDescent="0.25">
      <c r="A586" s="86"/>
      <c r="B586" s="86"/>
      <c r="C586" s="86"/>
      <c r="D586" s="86"/>
      <c r="E586" s="86"/>
      <c r="F586" s="86"/>
      <c r="G586" s="86"/>
      <c r="H586" s="86"/>
      <c r="I586" s="86"/>
      <c r="J586" s="86"/>
      <c r="K586" s="86"/>
      <c r="L586" s="102"/>
      <c r="M586" s="86"/>
      <c r="N586" s="86"/>
      <c r="O586" s="86"/>
      <c r="P586" s="86"/>
      <c r="Q586" s="86"/>
      <c r="R586" s="86"/>
      <c r="S586" s="86"/>
      <c r="T586" s="86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  <c r="AH586" s="86"/>
      <c r="AI586" s="86"/>
      <c r="AJ586" s="86"/>
      <c r="AK586" s="86"/>
      <c r="AL586" s="86"/>
      <c r="AM586" s="95"/>
      <c r="AN586" s="86"/>
    </row>
    <row r="587" spans="1:40" ht="45" customHeight="1" x14ac:dyDescent="0.25">
      <c r="A587" s="86"/>
      <c r="B587" s="86"/>
      <c r="C587" s="86"/>
      <c r="D587" s="86"/>
      <c r="E587" s="86"/>
      <c r="F587" s="86"/>
      <c r="G587" s="86"/>
      <c r="H587" s="86"/>
      <c r="I587" s="86"/>
      <c r="J587" s="86"/>
      <c r="K587" s="86"/>
      <c r="L587" s="102"/>
      <c r="M587" s="86"/>
      <c r="N587" s="86"/>
      <c r="O587" s="86"/>
      <c r="P587" s="86"/>
      <c r="Q587" s="86"/>
      <c r="R587" s="86"/>
      <c r="S587" s="86"/>
      <c r="T587" s="86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  <c r="AH587" s="86"/>
      <c r="AI587" s="86"/>
      <c r="AJ587" s="86"/>
      <c r="AK587" s="86"/>
      <c r="AL587" s="86"/>
      <c r="AM587" s="95"/>
      <c r="AN587" s="86"/>
    </row>
    <row r="588" spans="1:40" ht="45" customHeight="1" x14ac:dyDescent="0.25">
      <c r="A588" s="86"/>
      <c r="B588" s="86"/>
      <c r="C588" s="86"/>
      <c r="D588" s="86"/>
      <c r="E588" s="86"/>
      <c r="F588" s="86"/>
      <c r="G588" s="86"/>
      <c r="H588" s="86"/>
      <c r="I588" s="86"/>
      <c r="J588" s="86"/>
      <c r="K588" s="86"/>
      <c r="L588" s="102"/>
      <c r="M588" s="86"/>
      <c r="N588" s="86"/>
      <c r="O588" s="86"/>
      <c r="P588" s="86"/>
      <c r="Q588" s="86"/>
      <c r="R588" s="86"/>
      <c r="S588" s="86"/>
      <c r="T588" s="86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  <c r="AH588" s="86"/>
      <c r="AI588" s="86"/>
      <c r="AJ588" s="86"/>
      <c r="AK588" s="86"/>
      <c r="AL588" s="86"/>
      <c r="AM588" s="95"/>
      <c r="AN588" s="86"/>
    </row>
    <row r="589" spans="1:40" ht="45" customHeight="1" x14ac:dyDescent="0.25">
      <c r="A589" s="86"/>
      <c r="B589" s="86"/>
      <c r="C589" s="86"/>
      <c r="D589" s="86"/>
      <c r="E589" s="86"/>
      <c r="F589" s="86"/>
      <c r="G589" s="86"/>
      <c r="H589" s="86"/>
      <c r="I589" s="86"/>
      <c r="J589" s="86"/>
      <c r="K589" s="86"/>
      <c r="L589" s="102"/>
      <c r="M589" s="86"/>
      <c r="N589" s="86"/>
      <c r="O589" s="86"/>
      <c r="P589" s="86"/>
      <c r="Q589" s="86"/>
      <c r="R589" s="86"/>
      <c r="S589" s="86"/>
      <c r="T589" s="86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  <c r="AH589" s="86"/>
      <c r="AI589" s="86"/>
      <c r="AJ589" s="86"/>
      <c r="AK589" s="86"/>
      <c r="AL589" s="86"/>
      <c r="AM589" s="95"/>
      <c r="AN589" s="86"/>
    </row>
    <row r="590" spans="1:40" ht="45" customHeight="1" x14ac:dyDescent="0.25">
      <c r="A590" s="86"/>
      <c r="B590" s="86"/>
      <c r="C590" s="86"/>
      <c r="D590" s="86"/>
      <c r="E590" s="86"/>
      <c r="F590" s="86"/>
      <c r="G590" s="86"/>
      <c r="H590" s="86"/>
      <c r="I590" s="86"/>
      <c r="J590" s="86"/>
      <c r="K590" s="86"/>
      <c r="L590" s="102"/>
      <c r="M590" s="86"/>
      <c r="N590" s="86"/>
      <c r="O590" s="86"/>
      <c r="P590" s="86"/>
      <c r="Q590" s="86"/>
      <c r="R590" s="86"/>
      <c r="S590" s="86"/>
      <c r="T590" s="86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  <c r="AH590" s="86"/>
      <c r="AI590" s="86"/>
      <c r="AJ590" s="86"/>
      <c r="AK590" s="86"/>
      <c r="AL590" s="86"/>
      <c r="AM590" s="95"/>
      <c r="AN590" s="86"/>
    </row>
    <row r="591" spans="1:40" ht="45" customHeight="1" x14ac:dyDescent="0.25">
      <c r="A591" s="86"/>
      <c r="B591" s="86"/>
      <c r="C591" s="86"/>
      <c r="D591" s="86"/>
      <c r="E591" s="86"/>
      <c r="F591" s="86"/>
      <c r="G591" s="86"/>
      <c r="H591" s="86"/>
      <c r="I591" s="86"/>
      <c r="J591" s="86"/>
      <c r="K591" s="86"/>
      <c r="L591" s="102"/>
      <c r="M591" s="86"/>
      <c r="N591" s="86"/>
      <c r="O591" s="86"/>
      <c r="P591" s="86"/>
      <c r="Q591" s="86"/>
      <c r="R591" s="86"/>
      <c r="S591" s="86"/>
      <c r="T591" s="86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  <c r="AH591" s="86"/>
      <c r="AI591" s="86"/>
      <c r="AJ591" s="86"/>
      <c r="AK591" s="86"/>
      <c r="AL591" s="86"/>
      <c r="AM591" s="95"/>
      <c r="AN591" s="86"/>
    </row>
    <row r="592" spans="1:40" ht="45" customHeight="1" x14ac:dyDescent="0.25">
      <c r="A592" s="86"/>
      <c r="B592" s="86"/>
      <c r="C592" s="86"/>
      <c r="D592" s="86"/>
      <c r="E592" s="86"/>
      <c r="F592" s="86"/>
      <c r="G592" s="86"/>
      <c r="H592" s="86"/>
      <c r="I592" s="86"/>
      <c r="J592" s="86"/>
      <c r="K592" s="86"/>
      <c r="L592" s="102"/>
      <c r="M592" s="86"/>
      <c r="N592" s="86"/>
      <c r="O592" s="86"/>
      <c r="P592" s="86"/>
      <c r="Q592" s="86"/>
      <c r="R592" s="86"/>
      <c r="S592" s="86"/>
      <c r="T592" s="86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  <c r="AH592" s="86"/>
      <c r="AI592" s="86"/>
      <c r="AJ592" s="86"/>
      <c r="AK592" s="86"/>
      <c r="AL592" s="86"/>
      <c r="AM592" s="95"/>
      <c r="AN592" s="86"/>
    </row>
    <row r="593" spans="1:40" ht="45" customHeight="1" x14ac:dyDescent="0.25">
      <c r="A593" s="86"/>
      <c r="B593" s="86"/>
      <c r="C593" s="86"/>
      <c r="D593" s="86"/>
      <c r="E593" s="86"/>
      <c r="F593" s="86"/>
      <c r="G593" s="86"/>
      <c r="H593" s="86"/>
      <c r="I593" s="86"/>
      <c r="J593" s="86"/>
      <c r="K593" s="86"/>
      <c r="L593" s="102"/>
      <c r="M593" s="86"/>
      <c r="N593" s="86"/>
      <c r="O593" s="86"/>
      <c r="P593" s="86"/>
      <c r="Q593" s="86"/>
      <c r="R593" s="86"/>
      <c r="S593" s="86"/>
      <c r="T593" s="86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  <c r="AH593" s="86"/>
      <c r="AI593" s="86"/>
      <c r="AJ593" s="86"/>
      <c r="AK593" s="86"/>
      <c r="AL593" s="86"/>
      <c r="AM593" s="95"/>
      <c r="AN593" s="86"/>
    </row>
    <row r="594" spans="1:40" ht="45" customHeight="1" x14ac:dyDescent="0.25">
      <c r="A594" s="86"/>
      <c r="B594" s="86"/>
      <c r="C594" s="86"/>
      <c r="D594" s="86"/>
      <c r="E594" s="86"/>
      <c r="F594" s="86"/>
      <c r="G594" s="86"/>
      <c r="H594" s="86"/>
      <c r="I594" s="86"/>
      <c r="J594" s="86"/>
      <c r="K594" s="86"/>
      <c r="L594" s="102"/>
      <c r="M594" s="86"/>
      <c r="N594" s="86"/>
      <c r="O594" s="86"/>
      <c r="P594" s="86"/>
      <c r="Q594" s="86"/>
      <c r="R594" s="86"/>
      <c r="S594" s="86"/>
      <c r="T594" s="86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  <c r="AH594" s="86"/>
      <c r="AI594" s="86"/>
      <c r="AJ594" s="86"/>
      <c r="AK594" s="86"/>
      <c r="AL594" s="86"/>
      <c r="AM594" s="95"/>
      <c r="AN594" s="86"/>
    </row>
    <row r="595" spans="1:40" ht="45" customHeight="1" x14ac:dyDescent="0.25">
      <c r="A595" s="86"/>
      <c r="B595" s="86"/>
      <c r="C595" s="86"/>
      <c r="D595" s="86"/>
      <c r="E595" s="86"/>
      <c r="F595" s="86"/>
      <c r="G595" s="86"/>
      <c r="H595" s="86"/>
      <c r="I595" s="86"/>
      <c r="J595" s="86"/>
      <c r="K595" s="86"/>
      <c r="L595" s="102"/>
      <c r="M595" s="86"/>
      <c r="N595" s="86"/>
      <c r="O595" s="86"/>
      <c r="P595" s="86"/>
      <c r="Q595" s="86"/>
      <c r="R595" s="86"/>
      <c r="S595" s="86"/>
      <c r="T595" s="86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  <c r="AH595" s="86"/>
      <c r="AI595" s="86"/>
      <c r="AJ595" s="86"/>
      <c r="AK595" s="86"/>
      <c r="AL595" s="86"/>
      <c r="AM595" s="95"/>
      <c r="AN595" s="86"/>
    </row>
    <row r="596" spans="1:40" ht="45" customHeight="1" x14ac:dyDescent="0.25">
      <c r="A596" s="86"/>
      <c r="B596" s="86"/>
      <c r="C596" s="86"/>
      <c r="D596" s="86"/>
      <c r="E596" s="86"/>
      <c r="F596" s="86"/>
      <c r="G596" s="86"/>
      <c r="H596" s="86"/>
      <c r="I596" s="86"/>
      <c r="J596" s="86"/>
      <c r="K596" s="86"/>
      <c r="L596" s="102"/>
      <c r="M596" s="86"/>
      <c r="N596" s="86"/>
      <c r="O596" s="86"/>
      <c r="P596" s="86"/>
      <c r="Q596" s="86"/>
      <c r="R596" s="86"/>
      <c r="S596" s="86"/>
      <c r="T596" s="86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  <c r="AH596" s="86"/>
      <c r="AI596" s="86"/>
      <c r="AJ596" s="86"/>
      <c r="AK596" s="86"/>
      <c r="AL596" s="86"/>
      <c r="AM596" s="95"/>
      <c r="AN596" s="86"/>
    </row>
    <row r="597" spans="1:40" ht="45" customHeight="1" x14ac:dyDescent="0.25">
      <c r="A597" s="86"/>
      <c r="B597" s="86"/>
      <c r="C597" s="86"/>
      <c r="D597" s="86"/>
      <c r="E597" s="86"/>
      <c r="F597" s="86"/>
      <c r="G597" s="86"/>
      <c r="H597" s="86"/>
      <c r="I597" s="86"/>
      <c r="J597" s="86"/>
      <c r="K597" s="86"/>
      <c r="L597" s="102"/>
      <c r="M597" s="86"/>
      <c r="N597" s="86"/>
      <c r="O597" s="86"/>
      <c r="P597" s="86"/>
      <c r="Q597" s="86"/>
      <c r="R597" s="86"/>
      <c r="S597" s="86"/>
      <c r="T597" s="86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  <c r="AH597" s="86"/>
      <c r="AI597" s="86"/>
      <c r="AJ597" s="86"/>
      <c r="AK597" s="86"/>
      <c r="AL597" s="86"/>
      <c r="AM597" s="95"/>
      <c r="AN597" s="86"/>
    </row>
    <row r="598" spans="1:40" ht="45" customHeight="1" x14ac:dyDescent="0.25">
      <c r="A598" s="86"/>
      <c r="B598" s="86"/>
      <c r="C598" s="86"/>
      <c r="D598" s="86"/>
      <c r="E598" s="86"/>
      <c r="F598" s="86"/>
      <c r="G598" s="86"/>
      <c r="H598" s="86"/>
      <c r="I598" s="86"/>
      <c r="J598" s="86"/>
      <c r="K598" s="86"/>
      <c r="L598" s="102"/>
      <c r="M598" s="86"/>
      <c r="N598" s="86"/>
      <c r="O598" s="86"/>
      <c r="P598" s="86"/>
      <c r="Q598" s="86"/>
      <c r="R598" s="86"/>
      <c r="S598" s="86"/>
      <c r="T598" s="86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  <c r="AH598" s="86"/>
      <c r="AI598" s="86"/>
      <c r="AJ598" s="86"/>
      <c r="AK598" s="86"/>
      <c r="AL598" s="86"/>
      <c r="AM598" s="95"/>
      <c r="AN598" s="86"/>
    </row>
    <row r="599" spans="1:40" ht="45" customHeight="1" x14ac:dyDescent="0.25">
      <c r="A599" s="86"/>
      <c r="B599" s="86"/>
      <c r="C599" s="86"/>
      <c r="D599" s="86"/>
      <c r="E599" s="86"/>
      <c r="F599" s="86"/>
      <c r="G599" s="86"/>
      <c r="H599" s="86"/>
      <c r="I599" s="86"/>
      <c r="J599" s="86"/>
      <c r="K599" s="86"/>
      <c r="L599" s="102"/>
      <c r="M599" s="86"/>
      <c r="N599" s="86"/>
      <c r="O599" s="86"/>
      <c r="P599" s="86"/>
      <c r="Q599" s="86"/>
      <c r="R599" s="86"/>
      <c r="S599" s="86"/>
      <c r="T599" s="86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  <c r="AH599" s="86"/>
      <c r="AI599" s="86"/>
      <c r="AJ599" s="86"/>
      <c r="AK599" s="86"/>
      <c r="AL599" s="86"/>
      <c r="AM599" s="95"/>
      <c r="AN599" s="86"/>
    </row>
    <row r="600" spans="1:40" ht="45" customHeight="1" x14ac:dyDescent="0.25">
      <c r="A600" s="86"/>
      <c r="B600" s="86"/>
      <c r="C600" s="86"/>
      <c r="D600" s="86"/>
      <c r="E600" s="86"/>
      <c r="F600" s="86"/>
      <c r="G600" s="86"/>
      <c r="H600" s="86"/>
      <c r="I600" s="86"/>
      <c r="J600" s="86"/>
      <c r="K600" s="86"/>
      <c r="L600" s="102"/>
      <c r="M600" s="86"/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  <c r="AH600" s="86"/>
      <c r="AI600" s="86"/>
      <c r="AJ600" s="86"/>
      <c r="AK600" s="86"/>
      <c r="AL600" s="86"/>
      <c r="AM600" s="95"/>
      <c r="AN600" s="86"/>
    </row>
    <row r="601" spans="1:40" ht="45" customHeight="1" x14ac:dyDescent="0.25">
      <c r="A601" s="86"/>
      <c r="B601" s="86"/>
      <c r="C601" s="86"/>
      <c r="D601" s="86"/>
      <c r="E601" s="86"/>
      <c r="F601" s="86"/>
      <c r="G601" s="86"/>
      <c r="H601" s="86"/>
      <c r="I601" s="86"/>
      <c r="J601" s="86"/>
      <c r="K601" s="86"/>
      <c r="L601" s="102"/>
      <c r="M601" s="86"/>
      <c r="N601" s="86"/>
      <c r="O601" s="86"/>
      <c r="P601" s="86"/>
      <c r="Q601" s="86"/>
      <c r="R601" s="86"/>
      <c r="S601" s="86"/>
      <c r="T601" s="86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  <c r="AH601" s="86"/>
      <c r="AI601" s="86"/>
      <c r="AJ601" s="86"/>
      <c r="AK601" s="86"/>
      <c r="AL601" s="86"/>
      <c r="AM601" s="95"/>
      <c r="AN601" s="86"/>
    </row>
    <row r="602" spans="1:40" ht="45" customHeight="1" x14ac:dyDescent="0.25">
      <c r="A602" s="86"/>
      <c r="B602" s="86"/>
      <c r="C602" s="86"/>
      <c r="D602" s="86"/>
      <c r="E602" s="86"/>
      <c r="F602" s="86"/>
      <c r="G602" s="86"/>
      <c r="H602" s="86"/>
      <c r="I602" s="86"/>
      <c r="J602" s="86"/>
      <c r="K602" s="86"/>
      <c r="L602" s="102"/>
      <c r="M602" s="86"/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  <c r="AH602" s="86"/>
      <c r="AI602" s="86"/>
      <c r="AJ602" s="86"/>
      <c r="AK602" s="86"/>
      <c r="AL602" s="86"/>
      <c r="AM602" s="95"/>
      <c r="AN602" s="86"/>
    </row>
    <row r="603" spans="1:40" ht="45" customHeight="1" x14ac:dyDescent="0.25">
      <c r="A603" s="86"/>
      <c r="B603" s="86"/>
      <c r="C603" s="86"/>
      <c r="D603" s="86"/>
      <c r="E603" s="86"/>
      <c r="F603" s="86"/>
      <c r="G603" s="86"/>
      <c r="H603" s="86"/>
      <c r="I603" s="86"/>
      <c r="J603" s="86"/>
      <c r="K603" s="86"/>
      <c r="L603" s="102"/>
      <c r="M603" s="86"/>
      <c r="N603" s="86"/>
      <c r="O603" s="86"/>
      <c r="P603" s="86"/>
      <c r="Q603" s="86"/>
      <c r="R603" s="86"/>
      <c r="S603" s="86"/>
      <c r="T603" s="86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  <c r="AH603" s="86"/>
      <c r="AI603" s="86"/>
      <c r="AJ603" s="86"/>
      <c r="AK603" s="86"/>
      <c r="AL603" s="86"/>
      <c r="AM603" s="95"/>
      <c r="AN603" s="86"/>
    </row>
    <row r="604" spans="1:40" ht="45" customHeight="1" x14ac:dyDescent="0.25">
      <c r="A604" s="86"/>
      <c r="B604" s="86"/>
      <c r="C604" s="86"/>
      <c r="D604" s="86"/>
      <c r="E604" s="86"/>
      <c r="F604" s="86"/>
      <c r="G604" s="86"/>
      <c r="H604" s="86"/>
      <c r="I604" s="86"/>
      <c r="J604" s="86"/>
      <c r="K604" s="86"/>
      <c r="L604" s="102"/>
      <c r="M604" s="86"/>
      <c r="N604" s="86"/>
      <c r="O604" s="86"/>
      <c r="P604" s="86"/>
      <c r="Q604" s="86"/>
      <c r="R604" s="86"/>
      <c r="S604" s="86"/>
      <c r="T604" s="86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  <c r="AH604" s="86"/>
      <c r="AI604" s="86"/>
      <c r="AJ604" s="86"/>
      <c r="AK604" s="86"/>
      <c r="AL604" s="86"/>
      <c r="AM604" s="95"/>
      <c r="AN604" s="86"/>
    </row>
    <row r="605" spans="1:40" ht="45" customHeight="1" x14ac:dyDescent="0.25">
      <c r="A605" s="86"/>
      <c r="B605" s="86"/>
      <c r="C605" s="86"/>
      <c r="D605" s="86"/>
      <c r="E605" s="86"/>
      <c r="F605" s="86"/>
      <c r="G605" s="86"/>
      <c r="H605" s="86"/>
      <c r="I605" s="86"/>
      <c r="J605" s="86"/>
      <c r="K605" s="86"/>
      <c r="L605" s="102"/>
      <c r="M605" s="86"/>
      <c r="N605" s="86"/>
      <c r="O605" s="86"/>
      <c r="P605" s="86"/>
      <c r="Q605" s="86"/>
      <c r="R605" s="86"/>
      <c r="S605" s="86"/>
      <c r="T605" s="86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  <c r="AH605" s="86"/>
      <c r="AI605" s="86"/>
      <c r="AJ605" s="86"/>
      <c r="AK605" s="86"/>
      <c r="AL605" s="86"/>
      <c r="AM605" s="86"/>
    </row>
    <row r="606" spans="1:40" ht="45" customHeight="1" x14ac:dyDescent="0.25">
      <c r="A606" s="86"/>
      <c r="B606" s="86"/>
      <c r="C606" s="86"/>
      <c r="D606" s="86"/>
      <c r="E606" s="86"/>
      <c r="F606" s="86"/>
      <c r="G606" s="86"/>
      <c r="H606" s="86"/>
      <c r="I606" s="86"/>
      <c r="J606" s="86"/>
      <c r="K606" s="86"/>
      <c r="L606" s="102"/>
      <c r="M606" s="86"/>
      <c r="N606" s="86"/>
      <c r="O606" s="86"/>
      <c r="P606" s="86"/>
      <c r="Q606" s="86"/>
      <c r="R606" s="86"/>
      <c r="S606" s="86"/>
      <c r="T606" s="86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  <c r="AH606" s="86"/>
      <c r="AI606" s="86"/>
      <c r="AJ606" s="86"/>
      <c r="AK606" s="86"/>
      <c r="AL606" s="86"/>
      <c r="AM606" s="86"/>
    </row>
    <row r="607" spans="1:40" ht="45" customHeight="1" x14ac:dyDescent="0.25">
      <c r="A607" s="86"/>
      <c r="B607" s="86"/>
      <c r="C607" s="86"/>
      <c r="D607" s="86"/>
      <c r="E607" s="86"/>
      <c r="F607" s="86"/>
      <c r="G607" s="86"/>
      <c r="H607" s="86"/>
      <c r="I607" s="86"/>
      <c r="J607" s="86"/>
      <c r="K607" s="86"/>
      <c r="L607" s="102"/>
      <c r="M607" s="86"/>
      <c r="N607" s="86"/>
      <c r="O607" s="86"/>
      <c r="P607" s="86"/>
      <c r="Q607" s="86"/>
      <c r="R607" s="86"/>
      <c r="S607" s="86"/>
      <c r="T607" s="86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  <c r="AH607" s="86"/>
      <c r="AI607" s="86"/>
      <c r="AJ607" s="86"/>
      <c r="AK607" s="86"/>
      <c r="AL607" s="86"/>
      <c r="AM607" s="86"/>
    </row>
    <row r="608" spans="1:40" ht="45" customHeight="1" x14ac:dyDescent="0.25">
      <c r="A608" s="86"/>
      <c r="B608" s="86"/>
      <c r="C608" s="86"/>
      <c r="D608" s="86"/>
      <c r="E608" s="86"/>
      <c r="F608" s="86"/>
      <c r="G608" s="86"/>
      <c r="H608" s="86"/>
      <c r="I608" s="86"/>
      <c r="J608" s="86"/>
      <c r="K608" s="86"/>
      <c r="L608" s="102"/>
      <c r="M608" s="86"/>
      <c r="N608" s="86"/>
      <c r="O608" s="86"/>
      <c r="P608" s="86"/>
      <c r="Q608" s="86"/>
      <c r="R608" s="86"/>
      <c r="S608" s="86"/>
      <c r="T608" s="86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  <c r="AH608" s="86"/>
      <c r="AI608" s="86"/>
      <c r="AJ608" s="86"/>
      <c r="AK608" s="86"/>
      <c r="AL608" s="86"/>
      <c r="AM608" s="86"/>
    </row>
    <row r="609" spans="1:39" ht="45" customHeight="1" x14ac:dyDescent="0.25">
      <c r="A609" s="86"/>
      <c r="B609" s="86"/>
      <c r="C609" s="86"/>
      <c r="D609" s="86"/>
      <c r="E609" s="86"/>
      <c r="F609" s="86"/>
      <c r="G609" s="86"/>
      <c r="H609" s="86"/>
      <c r="I609" s="86"/>
      <c r="J609" s="86"/>
      <c r="K609" s="86"/>
      <c r="L609" s="102"/>
      <c r="M609" s="86"/>
      <c r="N609" s="86"/>
      <c r="O609" s="86"/>
      <c r="P609" s="86"/>
      <c r="Q609" s="86"/>
      <c r="R609" s="86"/>
      <c r="S609" s="86"/>
      <c r="T609" s="86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  <c r="AH609" s="86"/>
      <c r="AI609" s="86"/>
      <c r="AJ609" s="86"/>
      <c r="AK609" s="86"/>
      <c r="AL609" s="86"/>
      <c r="AM609" s="86"/>
    </row>
    <row r="610" spans="1:39" ht="45" customHeight="1" x14ac:dyDescent="0.25">
      <c r="A610" s="86"/>
      <c r="B610" s="86"/>
      <c r="C610" s="86"/>
      <c r="D610" s="86"/>
      <c r="E610" s="86"/>
      <c r="F610" s="86"/>
      <c r="G610" s="86"/>
      <c r="H610" s="86"/>
      <c r="I610" s="86"/>
      <c r="J610" s="86"/>
      <c r="K610" s="86"/>
      <c r="L610" s="102"/>
      <c r="M610" s="86"/>
      <c r="N610" s="86"/>
      <c r="O610" s="86"/>
      <c r="P610" s="86"/>
      <c r="Q610" s="86"/>
      <c r="R610" s="86"/>
      <c r="S610" s="86"/>
      <c r="T610" s="86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  <c r="AH610" s="86"/>
      <c r="AI610" s="86"/>
      <c r="AJ610" s="86"/>
      <c r="AK610" s="86"/>
      <c r="AL610" s="86"/>
      <c r="AM610" s="86"/>
    </row>
    <row r="611" spans="1:39" ht="45" customHeight="1" x14ac:dyDescent="0.25">
      <c r="A611" s="86"/>
      <c r="B611" s="86"/>
      <c r="C611" s="86"/>
      <c r="D611" s="86"/>
      <c r="E611" s="86"/>
      <c r="F611" s="86"/>
      <c r="G611" s="86"/>
      <c r="H611" s="86"/>
      <c r="I611" s="86"/>
      <c r="J611" s="86"/>
      <c r="K611" s="86"/>
      <c r="L611" s="102"/>
      <c r="M611" s="86"/>
      <c r="N611" s="86"/>
      <c r="O611" s="86"/>
      <c r="P611" s="86"/>
      <c r="Q611" s="86"/>
      <c r="R611" s="86"/>
      <c r="S611" s="86"/>
      <c r="T611" s="86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  <c r="AH611" s="86"/>
      <c r="AI611" s="86"/>
      <c r="AJ611" s="86"/>
      <c r="AK611" s="86"/>
      <c r="AL611" s="86"/>
      <c r="AM611" s="86"/>
    </row>
    <row r="612" spans="1:39" ht="45" customHeight="1" x14ac:dyDescent="0.25">
      <c r="A612" s="86"/>
      <c r="B612" s="86"/>
      <c r="C612" s="86"/>
      <c r="D612" s="86"/>
      <c r="E612" s="86"/>
      <c r="F612" s="86"/>
      <c r="G612" s="86"/>
      <c r="H612" s="86"/>
      <c r="I612" s="86"/>
      <c r="J612" s="86"/>
      <c r="K612" s="86"/>
      <c r="L612" s="102"/>
      <c r="M612" s="86"/>
      <c r="N612" s="86"/>
      <c r="O612" s="86"/>
      <c r="P612" s="86"/>
      <c r="Q612" s="86"/>
      <c r="R612" s="86"/>
      <c r="S612" s="86"/>
      <c r="T612" s="86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  <c r="AH612" s="86"/>
      <c r="AI612" s="86"/>
      <c r="AJ612" s="86"/>
      <c r="AK612" s="86"/>
      <c r="AL612" s="86"/>
      <c r="AM612" s="86"/>
    </row>
    <row r="613" spans="1:39" ht="45" customHeight="1" x14ac:dyDescent="0.25">
      <c r="A613" s="86"/>
      <c r="B613" s="86"/>
      <c r="C613" s="86"/>
      <c r="D613" s="86"/>
      <c r="E613" s="86"/>
      <c r="F613" s="86"/>
      <c r="G613" s="86"/>
      <c r="H613" s="86"/>
      <c r="I613" s="86"/>
      <c r="J613" s="86"/>
      <c r="K613" s="86"/>
      <c r="L613" s="102"/>
      <c r="M613" s="86"/>
      <c r="N613" s="86"/>
      <c r="O613" s="86"/>
      <c r="P613" s="86"/>
      <c r="Q613" s="86"/>
      <c r="R613" s="86"/>
      <c r="S613" s="86"/>
      <c r="T613" s="86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  <c r="AH613" s="86"/>
      <c r="AI613" s="86"/>
      <c r="AJ613" s="86"/>
      <c r="AK613" s="86"/>
      <c r="AL613" s="86"/>
      <c r="AM613" s="86"/>
    </row>
    <row r="614" spans="1:39" ht="45" customHeight="1" x14ac:dyDescent="0.25">
      <c r="A614" s="86"/>
      <c r="B614" s="86"/>
      <c r="C614" s="86"/>
      <c r="D614" s="86"/>
      <c r="E614" s="86"/>
      <c r="F614" s="86"/>
      <c r="G614" s="86"/>
      <c r="H614" s="86"/>
      <c r="I614" s="86"/>
      <c r="J614" s="86"/>
      <c r="K614" s="86"/>
      <c r="L614" s="102"/>
      <c r="M614" s="86"/>
      <c r="N614" s="86"/>
      <c r="O614" s="86"/>
      <c r="P614" s="86"/>
      <c r="Q614" s="86"/>
      <c r="R614" s="86"/>
      <c r="S614" s="86"/>
      <c r="T614" s="86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  <c r="AH614" s="86"/>
      <c r="AI614" s="86"/>
      <c r="AJ614" s="86"/>
      <c r="AK614" s="86"/>
      <c r="AL614" s="86"/>
      <c r="AM614" s="86"/>
    </row>
    <row r="615" spans="1:39" ht="45" customHeight="1" x14ac:dyDescent="0.25">
      <c r="A615" s="86"/>
      <c r="B615" s="86"/>
      <c r="C615" s="86"/>
      <c r="D615" s="86"/>
      <c r="E615" s="86"/>
      <c r="F615" s="86"/>
      <c r="G615" s="86"/>
      <c r="H615" s="86"/>
      <c r="I615" s="86"/>
      <c r="J615" s="86"/>
      <c r="K615" s="86"/>
      <c r="L615" s="102"/>
      <c r="M615" s="86"/>
      <c r="N615" s="86"/>
      <c r="O615" s="86"/>
      <c r="P615" s="86"/>
      <c r="Q615" s="86"/>
      <c r="R615" s="86"/>
      <c r="S615" s="86"/>
      <c r="T615" s="86"/>
      <c r="U615" s="86"/>
      <c r="V615" s="86"/>
      <c r="W615" s="86"/>
      <c r="X615" s="86"/>
      <c r="Y615" s="86"/>
      <c r="Z615" s="86"/>
      <c r="AA615" s="86"/>
      <c r="AB615" s="86"/>
      <c r="AC615" s="86"/>
      <c r="AD615" s="86"/>
      <c r="AE615" s="86"/>
      <c r="AF615" s="86"/>
      <c r="AG615" s="86"/>
      <c r="AH615" s="86"/>
      <c r="AI615" s="86"/>
      <c r="AJ615" s="86"/>
      <c r="AK615" s="86"/>
      <c r="AL615" s="86"/>
      <c r="AM615" s="86"/>
    </row>
    <row r="616" spans="1:39" ht="45" customHeight="1" x14ac:dyDescent="0.25">
      <c r="A616" s="86"/>
      <c r="B616" s="86"/>
      <c r="C616" s="86"/>
      <c r="D616" s="86"/>
      <c r="E616" s="86"/>
      <c r="F616" s="86"/>
      <c r="G616" s="86"/>
      <c r="H616" s="86"/>
      <c r="I616" s="86"/>
      <c r="J616" s="86"/>
      <c r="K616" s="86"/>
      <c r="L616" s="102"/>
      <c r="M616" s="86"/>
      <c r="N616" s="86"/>
      <c r="O616" s="86"/>
      <c r="P616" s="86"/>
      <c r="Q616" s="86"/>
      <c r="R616" s="86"/>
      <c r="S616" s="86"/>
      <c r="T616" s="86"/>
      <c r="U616" s="8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  <c r="AH616" s="86"/>
      <c r="AI616" s="86"/>
      <c r="AJ616" s="86"/>
      <c r="AK616" s="86"/>
      <c r="AL616" s="86"/>
      <c r="AM616" s="86"/>
    </row>
    <row r="617" spans="1:39" ht="45" customHeight="1" x14ac:dyDescent="0.25">
      <c r="A617" s="86"/>
      <c r="B617" s="86"/>
      <c r="C617" s="86"/>
      <c r="D617" s="86"/>
      <c r="E617" s="86"/>
      <c r="F617" s="86"/>
      <c r="G617" s="86"/>
      <c r="H617" s="86"/>
      <c r="I617" s="86"/>
      <c r="J617" s="86"/>
      <c r="K617" s="86"/>
      <c r="L617" s="102"/>
      <c r="M617" s="86"/>
      <c r="N617" s="86"/>
      <c r="O617" s="86"/>
      <c r="P617" s="86"/>
      <c r="Q617" s="86"/>
      <c r="R617" s="86"/>
      <c r="S617" s="86"/>
      <c r="T617" s="86"/>
      <c r="U617" s="8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  <c r="AH617" s="86"/>
      <c r="AI617" s="86"/>
      <c r="AJ617" s="86"/>
      <c r="AK617" s="86"/>
      <c r="AL617" s="86"/>
      <c r="AM617" s="86"/>
    </row>
    <row r="618" spans="1:39" ht="45" customHeight="1" x14ac:dyDescent="0.25">
      <c r="A618" s="86"/>
      <c r="B618" s="86"/>
      <c r="C618" s="86"/>
      <c r="D618" s="86"/>
      <c r="E618" s="86"/>
      <c r="F618" s="86"/>
      <c r="G618" s="86"/>
      <c r="H618" s="86"/>
      <c r="I618" s="86"/>
      <c r="J618" s="86"/>
      <c r="K618" s="86"/>
      <c r="L618" s="102"/>
      <c r="M618" s="86"/>
      <c r="N618" s="86"/>
      <c r="O618" s="86"/>
      <c r="P618" s="86"/>
      <c r="Q618" s="86"/>
      <c r="R618" s="86"/>
      <c r="S618" s="86"/>
      <c r="T618" s="86"/>
      <c r="U618" s="8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  <c r="AH618" s="86"/>
      <c r="AI618" s="86"/>
      <c r="AJ618" s="86"/>
      <c r="AK618" s="86"/>
      <c r="AL618" s="86"/>
      <c r="AM618" s="86"/>
    </row>
    <row r="619" spans="1:39" ht="45" customHeight="1" x14ac:dyDescent="0.25">
      <c r="A619" s="86"/>
      <c r="B619" s="86"/>
      <c r="C619" s="86"/>
      <c r="D619" s="86"/>
      <c r="E619" s="86"/>
      <c r="F619" s="86"/>
      <c r="G619" s="86"/>
      <c r="H619" s="86"/>
      <c r="I619" s="86"/>
      <c r="J619" s="86"/>
      <c r="K619" s="86"/>
      <c r="L619" s="102"/>
      <c r="M619" s="86"/>
      <c r="N619" s="86"/>
      <c r="O619" s="86"/>
      <c r="P619" s="86"/>
      <c r="Q619" s="86"/>
      <c r="R619" s="86"/>
      <c r="S619" s="86"/>
      <c r="T619" s="86"/>
      <c r="U619" s="8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  <c r="AH619" s="86"/>
      <c r="AI619" s="86"/>
      <c r="AJ619" s="86"/>
      <c r="AK619" s="86"/>
      <c r="AL619" s="86"/>
      <c r="AM619" s="86"/>
    </row>
    <row r="620" spans="1:39" ht="45" customHeight="1" x14ac:dyDescent="0.25">
      <c r="A620" s="86"/>
      <c r="B620" s="86"/>
      <c r="C620" s="86"/>
      <c r="D620" s="86"/>
      <c r="E620" s="86"/>
      <c r="F620" s="86"/>
      <c r="G620" s="86"/>
      <c r="H620" s="86"/>
      <c r="I620" s="86"/>
      <c r="J620" s="86"/>
      <c r="K620" s="86"/>
      <c r="L620" s="102"/>
      <c r="M620" s="86"/>
      <c r="N620" s="86"/>
      <c r="O620" s="86"/>
      <c r="P620" s="86"/>
      <c r="Q620" s="86"/>
      <c r="R620" s="86"/>
      <c r="S620" s="86"/>
      <c r="T620" s="86"/>
      <c r="U620" s="8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  <c r="AH620" s="86"/>
      <c r="AI620" s="86"/>
      <c r="AJ620" s="86"/>
      <c r="AK620" s="86"/>
      <c r="AL620" s="86"/>
      <c r="AM620" s="86"/>
    </row>
    <row r="621" spans="1:39" ht="45" customHeight="1" x14ac:dyDescent="0.25">
      <c r="A621" s="86"/>
      <c r="B621" s="86"/>
      <c r="C621" s="86"/>
      <c r="D621" s="86"/>
      <c r="E621" s="86"/>
      <c r="F621" s="86"/>
      <c r="G621" s="86"/>
      <c r="H621" s="86"/>
      <c r="I621" s="86"/>
      <c r="J621" s="86"/>
      <c r="K621" s="86"/>
      <c r="L621" s="102"/>
      <c r="M621" s="86"/>
      <c r="N621" s="86"/>
      <c r="O621" s="86"/>
      <c r="P621" s="86"/>
      <c r="Q621" s="86"/>
      <c r="R621" s="86"/>
      <c r="S621" s="86"/>
      <c r="T621" s="86"/>
      <c r="U621" s="8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  <c r="AH621" s="86"/>
      <c r="AI621" s="86"/>
      <c r="AJ621" s="86"/>
      <c r="AK621" s="86"/>
      <c r="AL621" s="86"/>
      <c r="AM621" s="86"/>
    </row>
    <row r="622" spans="1:39" ht="45" customHeight="1" x14ac:dyDescent="0.25">
      <c r="A622" s="86"/>
      <c r="B622" s="86"/>
      <c r="C622" s="86"/>
      <c r="D622" s="86"/>
      <c r="E622" s="86"/>
      <c r="F622" s="86"/>
      <c r="G622" s="86"/>
      <c r="H622" s="86"/>
      <c r="I622" s="86"/>
      <c r="J622" s="86"/>
      <c r="K622" s="86"/>
      <c r="L622" s="102"/>
      <c r="M622" s="86"/>
      <c r="N622" s="86"/>
      <c r="O622" s="86"/>
      <c r="P622" s="86"/>
      <c r="Q622" s="86"/>
      <c r="R622" s="86"/>
      <c r="S622" s="86"/>
      <c r="T622" s="86"/>
      <c r="U622" s="8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  <c r="AH622" s="86"/>
      <c r="AI622" s="86"/>
      <c r="AJ622" s="86"/>
      <c r="AK622" s="86"/>
      <c r="AL622" s="86"/>
      <c r="AM622" s="86"/>
    </row>
    <row r="623" spans="1:39" ht="45" customHeight="1" x14ac:dyDescent="0.25">
      <c r="A623" s="86"/>
      <c r="B623" s="86"/>
      <c r="C623" s="86"/>
      <c r="D623" s="86"/>
      <c r="E623" s="86"/>
      <c r="F623" s="86"/>
      <c r="G623" s="86"/>
      <c r="H623" s="86"/>
      <c r="I623" s="86"/>
      <c r="J623" s="86"/>
      <c r="K623" s="86"/>
      <c r="L623" s="102"/>
      <c r="M623" s="86"/>
      <c r="N623" s="86"/>
      <c r="O623" s="86"/>
      <c r="P623" s="86"/>
      <c r="Q623" s="86"/>
      <c r="R623" s="86"/>
      <c r="S623" s="86"/>
      <c r="T623" s="86"/>
      <c r="U623" s="8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  <c r="AH623" s="86"/>
      <c r="AI623" s="86"/>
      <c r="AJ623" s="86"/>
      <c r="AK623" s="86"/>
      <c r="AL623" s="86"/>
      <c r="AM623" s="86"/>
    </row>
    <row r="624" spans="1:39" ht="45" customHeight="1" x14ac:dyDescent="0.25">
      <c r="A624" s="86"/>
      <c r="B624" s="86"/>
      <c r="C624" s="86"/>
      <c r="D624" s="86"/>
      <c r="E624" s="86"/>
      <c r="F624" s="86"/>
      <c r="G624" s="86"/>
      <c r="H624" s="86"/>
      <c r="I624" s="86"/>
      <c r="J624" s="86"/>
      <c r="K624" s="86"/>
      <c r="L624" s="102"/>
      <c r="M624" s="86"/>
      <c r="N624" s="86"/>
      <c r="O624" s="86"/>
      <c r="P624" s="86"/>
      <c r="Q624" s="86"/>
      <c r="R624" s="86"/>
      <c r="S624" s="86"/>
      <c r="T624" s="86"/>
      <c r="U624" s="8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  <c r="AH624" s="86"/>
      <c r="AI624" s="86"/>
      <c r="AJ624" s="86"/>
      <c r="AK624" s="86"/>
      <c r="AL624" s="86"/>
      <c r="AM624" s="86"/>
    </row>
    <row r="625" spans="1:39" ht="45" customHeight="1" x14ac:dyDescent="0.25">
      <c r="A625" s="86"/>
      <c r="B625" s="86"/>
      <c r="C625" s="86"/>
      <c r="D625" s="86"/>
      <c r="E625" s="86"/>
      <c r="F625" s="86"/>
      <c r="G625" s="86"/>
      <c r="H625" s="86"/>
      <c r="I625" s="86"/>
      <c r="J625" s="86"/>
      <c r="K625" s="86"/>
      <c r="L625" s="102"/>
      <c r="M625" s="86"/>
      <c r="N625" s="86"/>
      <c r="O625" s="86"/>
      <c r="P625" s="86"/>
      <c r="Q625" s="86"/>
      <c r="R625" s="86"/>
      <c r="S625" s="86"/>
      <c r="T625" s="86"/>
      <c r="U625" s="8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  <c r="AH625" s="86"/>
      <c r="AI625" s="86"/>
      <c r="AJ625" s="86"/>
      <c r="AK625" s="86"/>
      <c r="AL625" s="86"/>
      <c r="AM625" s="86"/>
    </row>
    <row r="626" spans="1:39" ht="45" customHeight="1" x14ac:dyDescent="0.25">
      <c r="A626" s="86"/>
      <c r="B626" s="86"/>
      <c r="C626" s="86"/>
      <c r="D626" s="86"/>
      <c r="E626" s="86"/>
      <c r="F626" s="86"/>
      <c r="G626" s="86"/>
      <c r="H626" s="86"/>
      <c r="I626" s="86"/>
      <c r="J626" s="86"/>
      <c r="K626" s="86"/>
      <c r="L626" s="102"/>
      <c r="M626" s="86"/>
      <c r="N626" s="86"/>
      <c r="O626" s="86"/>
      <c r="P626" s="86"/>
      <c r="Q626" s="86"/>
      <c r="R626" s="86"/>
      <c r="S626" s="86"/>
      <c r="T626" s="86"/>
      <c r="U626" s="8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  <c r="AH626" s="86"/>
      <c r="AI626" s="86"/>
      <c r="AJ626" s="86"/>
      <c r="AK626" s="86"/>
      <c r="AL626" s="86"/>
      <c r="AM626" s="86"/>
    </row>
    <row r="627" spans="1:39" ht="45" customHeight="1" x14ac:dyDescent="0.25">
      <c r="A627" s="86"/>
      <c r="B627" s="86"/>
      <c r="C627" s="86"/>
      <c r="D627" s="86"/>
      <c r="E627" s="86"/>
      <c r="F627" s="86"/>
      <c r="G627" s="86"/>
      <c r="H627" s="86"/>
      <c r="I627" s="86"/>
      <c r="J627" s="86"/>
      <c r="K627" s="86"/>
      <c r="L627" s="102"/>
      <c r="M627" s="86"/>
      <c r="N627" s="86"/>
      <c r="O627" s="86"/>
      <c r="P627" s="86"/>
      <c r="Q627" s="86"/>
      <c r="R627" s="86"/>
      <c r="S627" s="86"/>
      <c r="T627" s="86"/>
      <c r="U627" s="8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  <c r="AH627" s="86"/>
      <c r="AI627" s="86"/>
      <c r="AJ627" s="86"/>
      <c r="AK627" s="86"/>
      <c r="AL627" s="86"/>
      <c r="AM627" s="86"/>
    </row>
    <row r="628" spans="1:39" ht="45" customHeight="1" x14ac:dyDescent="0.25">
      <c r="A628" s="86"/>
      <c r="B628" s="86"/>
      <c r="C628" s="86"/>
      <c r="D628" s="86"/>
      <c r="E628" s="86"/>
      <c r="F628" s="86"/>
      <c r="G628" s="86"/>
      <c r="H628" s="86"/>
      <c r="I628" s="86"/>
      <c r="J628" s="86"/>
      <c r="K628" s="86"/>
      <c r="L628" s="102"/>
      <c r="M628" s="86"/>
      <c r="N628" s="86"/>
      <c r="O628" s="86"/>
      <c r="P628" s="86"/>
      <c r="Q628" s="86"/>
      <c r="R628" s="86"/>
      <c r="S628" s="86"/>
      <c r="T628" s="86"/>
      <c r="U628" s="8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  <c r="AH628" s="86"/>
      <c r="AI628" s="86"/>
      <c r="AJ628" s="86"/>
      <c r="AK628" s="86"/>
      <c r="AL628" s="86"/>
      <c r="AM628" s="86"/>
    </row>
    <row r="629" spans="1:39" ht="45" customHeight="1" x14ac:dyDescent="0.25">
      <c r="A629" s="86"/>
      <c r="B629" s="86"/>
      <c r="C629" s="86"/>
      <c r="D629" s="86"/>
      <c r="E629" s="86"/>
      <c r="F629" s="86"/>
      <c r="G629" s="86"/>
      <c r="H629" s="86"/>
      <c r="I629" s="86"/>
      <c r="J629" s="86"/>
      <c r="K629" s="86"/>
      <c r="L629" s="102"/>
      <c r="M629" s="86"/>
      <c r="N629" s="86"/>
      <c r="O629" s="86"/>
      <c r="P629" s="86"/>
      <c r="Q629" s="86"/>
      <c r="R629" s="86"/>
      <c r="S629" s="86"/>
      <c r="T629" s="86"/>
      <c r="U629" s="8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  <c r="AH629" s="86"/>
      <c r="AI629" s="86"/>
      <c r="AJ629" s="86"/>
      <c r="AK629" s="86"/>
      <c r="AL629" s="86"/>
      <c r="AM629" s="86"/>
    </row>
    <row r="630" spans="1:39" ht="45" customHeight="1" x14ac:dyDescent="0.25">
      <c r="A630" s="86"/>
      <c r="B630" s="86"/>
      <c r="C630" s="86"/>
      <c r="D630" s="86"/>
      <c r="E630" s="86"/>
      <c r="F630" s="86"/>
      <c r="G630" s="86"/>
      <c r="H630" s="86"/>
      <c r="I630" s="86"/>
      <c r="J630" s="86"/>
      <c r="K630" s="86"/>
      <c r="L630" s="102"/>
      <c r="M630" s="86"/>
      <c r="N630" s="86"/>
      <c r="O630" s="86"/>
      <c r="P630" s="86"/>
      <c r="Q630" s="86"/>
      <c r="R630" s="86"/>
      <c r="S630" s="86"/>
      <c r="T630" s="86"/>
      <c r="U630" s="8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  <c r="AH630" s="86"/>
      <c r="AI630" s="86"/>
      <c r="AJ630" s="86"/>
      <c r="AK630" s="86"/>
      <c r="AL630" s="86"/>
      <c r="AM630" s="86"/>
    </row>
    <row r="631" spans="1:39" ht="45" customHeight="1" x14ac:dyDescent="0.25">
      <c r="A631" s="86"/>
      <c r="B631" s="86"/>
      <c r="C631" s="86"/>
      <c r="D631" s="86"/>
      <c r="E631" s="86"/>
      <c r="F631" s="86"/>
      <c r="G631" s="86"/>
      <c r="H631" s="86"/>
      <c r="I631" s="86"/>
      <c r="J631" s="86"/>
      <c r="K631" s="86"/>
      <c r="L631" s="102"/>
      <c r="M631" s="86"/>
      <c r="N631" s="86"/>
      <c r="O631" s="86"/>
      <c r="P631" s="86"/>
      <c r="Q631" s="86"/>
      <c r="R631" s="86"/>
      <c r="S631" s="86"/>
      <c r="T631" s="86"/>
      <c r="U631" s="8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  <c r="AH631" s="86"/>
      <c r="AI631" s="86"/>
      <c r="AJ631" s="86"/>
      <c r="AK631" s="86"/>
      <c r="AL631" s="86"/>
      <c r="AM631" s="86"/>
    </row>
    <row r="632" spans="1:39" ht="45" customHeight="1" x14ac:dyDescent="0.25">
      <c r="A632" s="86"/>
      <c r="B632" s="86"/>
      <c r="C632" s="86"/>
      <c r="D632" s="86"/>
      <c r="E632" s="86"/>
      <c r="F632" s="86"/>
      <c r="G632" s="86"/>
      <c r="H632" s="86"/>
      <c r="I632" s="86"/>
      <c r="J632" s="86"/>
      <c r="K632" s="86"/>
      <c r="L632" s="102"/>
      <c r="M632" s="86"/>
      <c r="N632" s="86"/>
      <c r="O632" s="86"/>
      <c r="P632" s="86"/>
      <c r="Q632" s="86"/>
      <c r="R632" s="86"/>
      <c r="S632" s="86"/>
      <c r="T632" s="86"/>
      <c r="U632" s="86"/>
      <c r="V632" s="86"/>
      <c r="W632" s="86"/>
      <c r="X632" s="86"/>
      <c r="Y632" s="86"/>
      <c r="Z632" s="86"/>
      <c r="AA632" s="86"/>
      <c r="AB632" s="86"/>
      <c r="AC632" s="86"/>
      <c r="AD632" s="86"/>
      <c r="AE632" s="86"/>
      <c r="AF632" s="86"/>
      <c r="AG632" s="86"/>
      <c r="AH632" s="86"/>
      <c r="AI632" s="86"/>
      <c r="AJ632" s="86"/>
      <c r="AK632" s="86"/>
      <c r="AL632" s="86"/>
      <c r="AM632" s="86"/>
    </row>
    <row r="633" spans="1:39" ht="45" customHeight="1" x14ac:dyDescent="0.25">
      <c r="A633" s="86"/>
      <c r="B633" s="86"/>
      <c r="C633" s="86"/>
      <c r="D633" s="86"/>
      <c r="E633" s="86"/>
      <c r="F633" s="86"/>
      <c r="G633" s="86"/>
      <c r="H633" s="86"/>
      <c r="I633" s="86"/>
      <c r="J633" s="86"/>
      <c r="K633" s="86"/>
      <c r="L633" s="102"/>
      <c r="M633" s="86"/>
      <c r="N633" s="86"/>
      <c r="O633" s="86"/>
      <c r="P633" s="86"/>
      <c r="Q633" s="86"/>
      <c r="R633" s="86"/>
      <c r="S633" s="86"/>
      <c r="T633" s="86"/>
      <c r="U633" s="8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  <c r="AH633" s="86"/>
      <c r="AI633" s="86"/>
      <c r="AJ633" s="86"/>
      <c r="AK633" s="86"/>
      <c r="AL633" s="86"/>
      <c r="AM633" s="86"/>
    </row>
    <row r="634" spans="1:39" ht="45" customHeight="1" x14ac:dyDescent="0.25">
      <c r="A634" s="86"/>
      <c r="B634" s="86"/>
      <c r="C634" s="86"/>
      <c r="D634" s="86"/>
      <c r="E634" s="86"/>
      <c r="F634" s="86"/>
      <c r="G634" s="86"/>
      <c r="H634" s="86"/>
      <c r="I634" s="86"/>
      <c r="J634" s="86"/>
      <c r="K634" s="86"/>
      <c r="L634" s="102"/>
      <c r="M634" s="86"/>
      <c r="N634" s="86"/>
      <c r="O634" s="86"/>
      <c r="P634" s="86"/>
      <c r="Q634" s="86"/>
      <c r="R634" s="86"/>
      <c r="S634" s="86"/>
      <c r="T634" s="86"/>
      <c r="U634" s="8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  <c r="AH634" s="86"/>
      <c r="AI634" s="86"/>
      <c r="AJ634" s="86"/>
      <c r="AK634" s="86"/>
      <c r="AL634" s="86"/>
      <c r="AM634" s="86"/>
    </row>
    <row r="635" spans="1:39" ht="45" customHeight="1" x14ac:dyDescent="0.25">
      <c r="A635" s="86"/>
      <c r="B635" s="86"/>
      <c r="C635" s="86"/>
      <c r="D635" s="86"/>
      <c r="E635" s="86"/>
      <c r="F635" s="86"/>
      <c r="G635" s="86"/>
      <c r="H635" s="86"/>
      <c r="I635" s="86"/>
      <c r="J635" s="86"/>
      <c r="K635" s="86"/>
      <c r="L635" s="102"/>
      <c r="M635" s="86"/>
      <c r="N635" s="86"/>
      <c r="O635" s="86"/>
      <c r="P635" s="86"/>
      <c r="Q635" s="86"/>
      <c r="R635" s="86"/>
      <c r="S635" s="86"/>
      <c r="T635" s="86"/>
      <c r="U635" s="8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  <c r="AH635" s="86"/>
      <c r="AI635" s="86"/>
      <c r="AJ635" s="86"/>
      <c r="AK635" s="86"/>
      <c r="AL635" s="86"/>
      <c r="AM635" s="86"/>
    </row>
    <row r="636" spans="1:39" ht="45" customHeight="1" x14ac:dyDescent="0.25">
      <c r="A636" s="86"/>
      <c r="B636" s="86"/>
      <c r="C636" s="86"/>
      <c r="D636" s="86"/>
      <c r="E636" s="86"/>
      <c r="F636" s="86"/>
      <c r="G636" s="86"/>
      <c r="H636" s="86"/>
      <c r="I636" s="86"/>
      <c r="J636" s="86"/>
      <c r="K636" s="86"/>
      <c r="L636" s="102"/>
      <c r="M636" s="86"/>
      <c r="N636" s="86"/>
      <c r="O636" s="86"/>
      <c r="P636" s="86"/>
      <c r="Q636" s="86"/>
      <c r="R636" s="86"/>
      <c r="S636" s="86"/>
      <c r="T636" s="86"/>
      <c r="U636" s="8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  <c r="AH636" s="86"/>
      <c r="AI636" s="86"/>
      <c r="AJ636" s="86"/>
      <c r="AK636" s="86"/>
      <c r="AL636" s="86"/>
      <c r="AM636" s="86"/>
    </row>
    <row r="637" spans="1:39" ht="45" customHeight="1" x14ac:dyDescent="0.25">
      <c r="A637" s="86"/>
      <c r="B637" s="86"/>
      <c r="C637" s="86"/>
      <c r="D637" s="86"/>
      <c r="E637" s="86"/>
      <c r="F637" s="86"/>
      <c r="G637" s="86"/>
      <c r="H637" s="86"/>
      <c r="I637" s="86"/>
      <c r="J637" s="86"/>
      <c r="K637" s="86"/>
      <c r="L637" s="102"/>
      <c r="M637" s="86"/>
      <c r="N637" s="86"/>
      <c r="O637" s="86"/>
      <c r="P637" s="86"/>
      <c r="Q637" s="86"/>
      <c r="R637" s="86"/>
      <c r="S637" s="86"/>
      <c r="T637" s="86"/>
      <c r="U637" s="8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  <c r="AH637" s="86"/>
      <c r="AI637" s="86"/>
      <c r="AJ637" s="86"/>
      <c r="AK637" s="86"/>
      <c r="AL637" s="86"/>
      <c r="AM637" s="86"/>
    </row>
    <row r="638" spans="1:39" ht="45" customHeight="1" x14ac:dyDescent="0.25">
      <c r="A638" s="86"/>
      <c r="B638" s="86"/>
      <c r="C638" s="86"/>
      <c r="D638" s="86"/>
      <c r="E638" s="86"/>
      <c r="F638" s="86"/>
      <c r="G638" s="86"/>
      <c r="H638" s="86"/>
      <c r="I638" s="86"/>
      <c r="J638" s="86"/>
      <c r="K638" s="86"/>
      <c r="L638" s="102"/>
      <c r="M638" s="86"/>
      <c r="N638" s="86"/>
      <c r="O638" s="86"/>
      <c r="P638" s="86"/>
      <c r="Q638" s="86"/>
      <c r="R638" s="86"/>
      <c r="S638" s="86"/>
      <c r="T638" s="86"/>
      <c r="U638" s="8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  <c r="AH638" s="86"/>
      <c r="AI638" s="86"/>
      <c r="AJ638" s="86"/>
      <c r="AK638" s="86"/>
      <c r="AL638" s="86"/>
      <c r="AM638" s="86"/>
    </row>
    <row r="639" spans="1:39" ht="45" customHeight="1" x14ac:dyDescent="0.25">
      <c r="A639" s="86"/>
      <c r="B639" s="86"/>
      <c r="C639" s="86"/>
      <c r="D639" s="86"/>
      <c r="E639" s="86"/>
      <c r="F639" s="86"/>
      <c r="G639" s="86"/>
      <c r="H639" s="86"/>
      <c r="I639" s="86"/>
      <c r="J639" s="86"/>
      <c r="K639" s="86"/>
      <c r="L639" s="102"/>
      <c r="M639" s="86"/>
      <c r="N639" s="86"/>
      <c r="O639" s="86"/>
      <c r="P639" s="86"/>
      <c r="Q639" s="86"/>
      <c r="R639" s="86"/>
      <c r="S639" s="86"/>
      <c r="T639" s="86"/>
      <c r="U639" s="8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  <c r="AH639" s="86"/>
      <c r="AI639" s="86"/>
      <c r="AJ639" s="86"/>
      <c r="AK639" s="86"/>
      <c r="AL639" s="86"/>
      <c r="AM639" s="86"/>
    </row>
    <row r="640" spans="1:39" ht="45" customHeight="1" x14ac:dyDescent="0.25">
      <c r="A640" s="86"/>
      <c r="B640" s="86"/>
      <c r="C640" s="86"/>
      <c r="D640" s="86"/>
      <c r="E640" s="86"/>
      <c r="F640" s="86"/>
      <c r="G640" s="86"/>
      <c r="H640" s="86"/>
      <c r="I640" s="86"/>
      <c r="J640" s="86"/>
      <c r="K640" s="86"/>
      <c r="L640" s="102"/>
      <c r="M640" s="86"/>
      <c r="N640" s="86"/>
      <c r="O640" s="86"/>
      <c r="P640" s="86"/>
      <c r="Q640" s="86"/>
      <c r="R640" s="86"/>
      <c r="S640" s="86"/>
      <c r="T640" s="86"/>
      <c r="U640" s="8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  <c r="AH640" s="86"/>
      <c r="AI640" s="86"/>
      <c r="AJ640" s="86"/>
      <c r="AK640" s="86"/>
      <c r="AL640" s="86"/>
      <c r="AM640" s="86"/>
    </row>
    <row r="641" spans="1:39" ht="45" customHeight="1" x14ac:dyDescent="0.25">
      <c r="A641" s="86"/>
      <c r="B641" s="86"/>
      <c r="C641" s="86"/>
      <c r="D641" s="86"/>
      <c r="E641" s="86"/>
      <c r="F641" s="86"/>
      <c r="G641" s="86"/>
      <c r="H641" s="86"/>
      <c r="I641" s="86"/>
      <c r="J641" s="86"/>
      <c r="K641" s="86"/>
      <c r="L641" s="102"/>
      <c r="M641" s="86"/>
      <c r="N641" s="86"/>
      <c r="O641" s="86"/>
      <c r="P641" s="86"/>
      <c r="Q641" s="86"/>
      <c r="R641" s="86"/>
      <c r="S641" s="86"/>
      <c r="T641" s="86"/>
      <c r="U641" s="8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  <c r="AH641" s="86"/>
      <c r="AI641" s="86"/>
      <c r="AJ641" s="86"/>
      <c r="AK641" s="86"/>
      <c r="AL641" s="86"/>
      <c r="AM641" s="86"/>
    </row>
    <row r="642" spans="1:39" ht="45" customHeight="1" x14ac:dyDescent="0.25">
      <c r="A642" s="86"/>
      <c r="B642" s="86"/>
      <c r="C642" s="86"/>
      <c r="D642" s="86"/>
      <c r="E642" s="86"/>
      <c r="F642" s="86"/>
      <c r="G642" s="86"/>
      <c r="H642" s="86"/>
      <c r="I642" s="86"/>
      <c r="J642" s="86"/>
      <c r="K642" s="86"/>
      <c r="L642" s="102"/>
      <c r="M642" s="86"/>
      <c r="N642" s="86"/>
      <c r="O642" s="86"/>
      <c r="P642" s="86"/>
      <c r="Q642" s="86"/>
      <c r="R642" s="86"/>
      <c r="S642" s="86"/>
      <c r="T642" s="86"/>
      <c r="U642" s="8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  <c r="AH642" s="86"/>
      <c r="AI642" s="86"/>
      <c r="AJ642" s="86"/>
      <c r="AK642" s="86"/>
      <c r="AL642" s="86"/>
      <c r="AM642" s="86"/>
    </row>
    <row r="643" spans="1:39" ht="45" customHeight="1" x14ac:dyDescent="0.25">
      <c r="A643" s="86"/>
      <c r="B643" s="86"/>
      <c r="C643" s="86"/>
      <c r="D643" s="86"/>
      <c r="E643" s="86"/>
      <c r="F643" s="86"/>
      <c r="G643" s="86"/>
      <c r="H643" s="86"/>
      <c r="I643" s="86"/>
      <c r="J643" s="86"/>
      <c r="K643" s="86"/>
      <c r="L643" s="102"/>
      <c r="M643" s="86"/>
      <c r="N643" s="86"/>
      <c r="O643" s="86"/>
      <c r="P643" s="86"/>
      <c r="Q643" s="86"/>
      <c r="R643" s="86"/>
      <c r="S643" s="86"/>
      <c r="T643" s="86"/>
      <c r="U643" s="8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  <c r="AH643" s="86"/>
      <c r="AI643" s="86"/>
      <c r="AJ643" s="86"/>
      <c r="AK643" s="86"/>
      <c r="AL643" s="86"/>
      <c r="AM643" s="86"/>
    </row>
    <row r="644" spans="1:39" ht="45" customHeight="1" x14ac:dyDescent="0.25">
      <c r="A644" s="86"/>
      <c r="B644" s="86"/>
      <c r="C644" s="86"/>
      <c r="D644" s="86"/>
      <c r="E644" s="86"/>
      <c r="F644" s="86"/>
      <c r="G644" s="86"/>
      <c r="H644" s="86"/>
      <c r="I644" s="86"/>
      <c r="J644" s="86"/>
      <c r="K644" s="86"/>
      <c r="L644" s="102"/>
      <c r="M644" s="86"/>
      <c r="N644" s="86"/>
      <c r="O644" s="86"/>
      <c r="P644" s="86"/>
      <c r="Q644" s="86"/>
      <c r="R644" s="86"/>
      <c r="S644" s="86"/>
      <c r="T644" s="86"/>
      <c r="U644" s="8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  <c r="AH644" s="86"/>
      <c r="AI644" s="86"/>
      <c r="AJ644" s="86"/>
      <c r="AK644" s="86"/>
      <c r="AL644" s="86"/>
      <c r="AM644" s="86"/>
    </row>
    <row r="645" spans="1:39" ht="45" customHeight="1" x14ac:dyDescent="0.25">
      <c r="A645" s="86"/>
      <c r="B645" s="86"/>
      <c r="C645" s="86"/>
      <c r="D645" s="86"/>
      <c r="E645" s="86"/>
      <c r="F645" s="86"/>
      <c r="G645" s="86"/>
      <c r="H645" s="86"/>
      <c r="I645" s="86"/>
      <c r="J645" s="86"/>
      <c r="K645" s="86"/>
      <c r="L645" s="102"/>
      <c r="M645" s="86"/>
      <c r="N645" s="86"/>
      <c r="O645" s="86"/>
      <c r="P645" s="86"/>
      <c r="Q645" s="86"/>
      <c r="R645" s="86"/>
      <c r="S645" s="86"/>
      <c r="T645" s="86"/>
      <c r="U645" s="8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  <c r="AH645" s="86"/>
      <c r="AI645" s="86"/>
      <c r="AJ645" s="86"/>
      <c r="AK645" s="86"/>
      <c r="AL645" s="86"/>
      <c r="AM645" s="86"/>
    </row>
    <row r="646" spans="1:39" ht="45" customHeight="1" x14ac:dyDescent="0.25">
      <c r="A646" s="86"/>
      <c r="B646" s="86"/>
      <c r="C646" s="86"/>
      <c r="D646" s="86"/>
      <c r="E646" s="86"/>
      <c r="F646" s="86"/>
      <c r="G646" s="86"/>
      <c r="H646" s="86"/>
      <c r="I646" s="86"/>
      <c r="J646" s="86"/>
      <c r="K646" s="86"/>
      <c r="L646" s="102"/>
      <c r="M646" s="86"/>
      <c r="N646" s="86"/>
      <c r="O646" s="86"/>
      <c r="P646" s="86"/>
      <c r="Q646" s="86"/>
      <c r="R646" s="86"/>
      <c r="S646" s="86"/>
      <c r="T646" s="86"/>
      <c r="U646" s="8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  <c r="AH646" s="86"/>
      <c r="AI646" s="86"/>
      <c r="AJ646" s="86"/>
      <c r="AK646" s="86"/>
      <c r="AL646" s="86"/>
      <c r="AM646" s="86"/>
    </row>
    <row r="647" spans="1:39" ht="45" customHeight="1" x14ac:dyDescent="0.25">
      <c r="A647" s="86"/>
      <c r="B647" s="86"/>
      <c r="C647" s="86"/>
      <c r="D647" s="86"/>
      <c r="E647" s="86"/>
      <c r="F647" s="86"/>
      <c r="G647" s="86"/>
      <c r="H647" s="86"/>
      <c r="I647" s="86"/>
      <c r="J647" s="86"/>
      <c r="K647" s="86"/>
      <c r="L647" s="102"/>
      <c r="M647" s="86"/>
      <c r="N647" s="86"/>
      <c r="O647" s="86"/>
      <c r="P647" s="86"/>
      <c r="Q647" s="86"/>
      <c r="R647" s="86"/>
      <c r="S647" s="86"/>
      <c r="T647" s="86"/>
      <c r="U647" s="8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  <c r="AH647" s="86"/>
      <c r="AI647" s="86"/>
      <c r="AJ647" s="86"/>
      <c r="AK647" s="86"/>
      <c r="AL647" s="86"/>
      <c r="AM647" s="86"/>
    </row>
    <row r="648" spans="1:39" ht="45" customHeight="1" x14ac:dyDescent="0.25">
      <c r="A648" s="86"/>
      <c r="B648" s="86"/>
      <c r="C648" s="86"/>
      <c r="D648" s="86"/>
      <c r="E648" s="86"/>
      <c r="F648" s="86"/>
      <c r="G648" s="86"/>
      <c r="H648" s="86"/>
      <c r="I648" s="86"/>
      <c r="J648" s="86"/>
      <c r="K648" s="86"/>
      <c r="L648" s="102"/>
      <c r="M648" s="86"/>
      <c r="N648" s="86"/>
      <c r="O648" s="86"/>
      <c r="P648" s="86"/>
      <c r="Q648" s="86"/>
      <c r="R648" s="86"/>
      <c r="S648" s="86"/>
      <c r="T648" s="86"/>
      <c r="U648" s="8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  <c r="AH648" s="86"/>
      <c r="AI648" s="86"/>
      <c r="AJ648" s="86"/>
      <c r="AK648" s="86"/>
      <c r="AL648" s="86"/>
      <c r="AM648" s="86"/>
    </row>
    <row r="649" spans="1:39" ht="45" customHeight="1" x14ac:dyDescent="0.25">
      <c r="A649" s="86"/>
      <c r="B649" s="86"/>
      <c r="C649" s="86"/>
      <c r="D649" s="86"/>
      <c r="E649" s="86"/>
      <c r="F649" s="86"/>
      <c r="G649" s="86"/>
      <c r="H649" s="86"/>
      <c r="I649" s="86"/>
      <c r="J649" s="86"/>
      <c r="K649" s="86"/>
      <c r="L649" s="102"/>
      <c r="M649" s="86"/>
      <c r="N649" s="86"/>
      <c r="O649" s="86"/>
      <c r="P649" s="86"/>
      <c r="Q649" s="86"/>
      <c r="R649" s="86"/>
      <c r="S649" s="86"/>
      <c r="T649" s="86"/>
      <c r="U649" s="86"/>
      <c r="V649" s="86"/>
      <c r="W649" s="86"/>
      <c r="X649" s="86"/>
      <c r="Y649" s="86"/>
      <c r="Z649" s="86"/>
      <c r="AA649" s="86"/>
      <c r="AB649" s="86"/>
      <c r="AC649" s="86"/>
      <c r="AD649" s="86"/>
      <c r="AE649" s="86"/>
      <c r="AF649" s="86"/>
      <c r="AG649" s="86"/>
      <c r="AH649" s="86"/>
      <c r="AI649" s="86"/>
      <c r="AJ649" s="86"/>
      <c r="AK649" s="86"/>
      <c r="AL649" s="86"/>
      <c r="AM649" s="86"/>
    </row>
    <row r="650" spans="1:39" ht="45" customHeight="1" x14ac:dyDescent="0.25">
      <c r="A650" s="86"/>
      <c r="B650" s="86"/>
      <c r="C650" s="86"/>
      <c r="D650" s="86"/>
      <c r="E650" s="86"/>
      <c r="F650" s="86"/>
      <c r="G650" s="86"/>
      <c r="H650" s="86"/>
      <c r="I650" s="86"/>
      <c r="J650" s="86"/>
      <c r="K650" s="86"/>
      <c r="L650" s="102"/>
      <c r="M650" s="86"/>
      <c r="N650" s="86"/>
      <c r="O650" s="86"/>
      <c r="P650" s="86"/>
      <c r="Q650" s="86"/>
      <c r="R650" s="86"/>
      <c r="S650" s="86"/>
      <c r="T650" s="86"/>
      <c r="U650" s="8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  <c r="AH650" s="86"/>
      <c r="AI650" s="86"/>
      <c r="AJ650" s="86"/>
      <c r="AK650" s="86"/>
      <c r="AL650" s="86"/>
      <c r="AM650" s="86"/>
    </row>
    <row r="651" spans="1:39" ht="45" customHeight="1" x14ac:dyDescent="0.25">
      <c r="A651" s="86"/>
      <c r="B651" s="86"/>
      <c r="C651" s="86"/>
      <c r="D651" s="86"/>
      <c r="E651" s="86"/>
      <c r="F651" s="86"/>
      <c r="G651" s="86"/>
      <c r="H651" s="86"/>
      <c r="I651" s="86"/>
      <c r="J651" s="86"/>
      <c r="K651" s="86"/>
      <c r="L651" s="102"/>
      <c r="M651" s="86"/>
      <c r="N651" s="86"/>
      <c r="O651" s="86"/>
      <c r="P651" s="86"/>
      <c r="Q651" s="86"/>
      <c r="R651" s="86"/>
      <c r="S651" s="86"/>
      <c r="T651" s="86"/>
      <c r="U651" s="8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  <c r="AH651" s="86"/>
      <c r="AI651" s="86"/>
      <c r="AJ651" s="86"/>
      <c r="AK651" s="86"/>
      <c r="AL651" s="86"/>
      <c r="AM651" s="86"/>
    </row>
    <row r="652" spans="1:39" ht="45" customHeight="1" x14ac:dyDescent="0.25">
      <c r="A652" s="86"/>
      <c r="B652" s="86"/>
      <c r="C652" s="86"/>
      <c r="D652" s="86"/>
      <c r="E652" s="86"/>
      <c r="F652" s="86"/>
      <c r="G652" s="86"/>
      <c r="H652" s="86"/>
      <c r="I652" s="86"/>
      <c r="J652" s="86"/>
      <c r="K652" s="86"/>
      <c r="L652" s="102"/>
      <c r="M652" s="86"/>
      <c r="N652" s="86"/>
      <c r="O652" s="86"/>
      <c r="P652" s="86"/>
      <c r="Q652" s="86"/>
      <c r="R652" s="86"/>
      <c r="S652" s="86"/>
      <c r="T652" s="86"/>
      <c r="U652" s="8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  <c r="AH652" s="86"/>
      <c r="AI652" s="86"/>
      <c r="AJ652" s="86"/>
      <c r="AK652" s="86"/>
      <c r="AL652" s="86"/>
      <c r="AM652" s="86"/>
    </row>
    <row r="653" spans="1:39" ht="45" customHeight="1" x14ac:dyDescent="0.25">
      <c r="A653" s="86"/>
      <c r="B653" s="86"/>
      <c r="C653" s="86"/>
      <c r="D653" s="86"/>
      <c r="E653" s="86"/>
      <c r="F653" s="86"/>
      <c r="G653" s="86"/>
      <c r="H653" s="86"/>
      <c r="I653" s="86"/>
      <c r="J653" s="86"/>
      <c r="K653" s="86"/>
      <c r="L653" s="102"/>
      <c r="M653" s="86"/>
      <c r="N653" s="86"/>
      <c r="O653" s="86"/>
      <c r="P653" s="86"/>
      <c r="Q653" s="86"/>
      <c r="R653" s="86"/>
      <c r="S653" s="86"/>
      <c r="T653" s="86"/>
      <c r="U653" s="8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  <c r="AH653" s="86"/>
      <c r="AI653" s="86"/>
      <c r="AJ653" s="86"/>
      <c r="AK653" s="86"/>
      <c r="AL653" s="86"/>
      <c r="AM653" s="86"/>
    </row>
    <row r="654" spans="1:39" ht="45" customHeight="1" x14ac:dyDescent="0.25">
      <c r="A654" s="86"/>
      <c r="B654" s="86"/>
      <c r="C654" s="86"/>
      <c r="D654" s="86"/>
      <c r="E654" s="86"/>
      <c r="F654" s="86"/>
      <c r="G654" s="86"/>
      <c r="H654" s="86"/>
      <c r="I654" s="86"/>
      <c r="J654" s="86"/>
      <c r="K654" s="86"/>
      <c r="L654" s="102"/>
      <c r="M654" s="86"/>
      <c r="N654" s="86"/>
      <c r="O654" s="86"/>
      <c r="P654" s="86"/>
      <c r="Q654" s="86"/>
      <c r="R654" s="86"/>
      <c r="S654" s="86"/>
      <c r="T654" s="86"/>
      <c r="U654" s="8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  <c r="AH654" s="86"/>
      <c r="AI654" s="86"/>
      <c r="AJ654" s="86"/>
      <c r="AK654" s="86"/>
      <c r="AL654" s="86"/>
      <c r="AM654" s="86"/>
    </row>
    <row r="655" spans="1:39" ht="45" customHeight="1" x14ac:dyDescent="0.25">
      <c r="A655" s="86"/>
      <c r="B655" s="86"/>
      <c r="C655" s="86"/>
      <c r="D655" s="86"/>
      <c r="E655" s="86"/>
      <c r="F655" s="86"/>
      <c r="G655" s="86"/>
      <c r="H655" s="86"/>
      <c r="I655" s="86"/>
      <c r="J655" s="86"/>
      <c r="K655" s="86"/>
      <c r="L655" s="102"/>
      <c r="M655" s="86"/>
      <c r="N655" s="86"/>
      <c r="O655" s="86"/>
      <c r="P655" s="86"/>
      <c r="Q655" s="86"/>
      <c r="R655" s="86"/>
      <c r="S655" s="86"/>
      <c r="T655" s="86"/>
      <c r="U655" s="8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  <c r="AH655" s="86"/>
      <c r="AI655" s="86"/>
      <c r="AJ655" s="86"/>
      <c r="AK655" s="86"/>
      <c r="AL655" s="86"/>
      <c r="AM655" s="86"/>
    </row>
    <row r="656" spans="1:39" ht="45" customHeight="1" x14ac:dyDescent="0.25">
      <c r="A656" s="86"/>
      <c r="B656" s="86"/>
      <c r="C656" s="86"/>
      <c r="D656" s="86"/>
      <c r="E656" s="86"/>
      <c r="F656" s="86"/>
      <c r="G656" s="86"/>
      <c r="H656" s="86"/>
      <c r="I656" s="86"/>
      <c r="J656" s="86"/>
      <c r="K656" s="86"/>
      <c r="L656" s="102"/>
      <c r="M656" s="86"/>
      <c r="N656" s="86"/>
      <c r="O656" s="86"/>
      <c r="P656" s="86"/>
      <c r="Q656" s="86"/>
      <c r="R656" s="86"/>
      <c r="S656" s="86"/>
      <c r="T656" s="86"/>
      <c r="U656" s="8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  <c r="AH656" s="86"/>
      <c r="AI656" s="86"/>
      <c r="AJ656" s="86"/>
      <c r="AK656" s="86"/>
      <c r="AL656" s="86"/>
      <c r="AM656" s="86"/>
    </row>
    <row r="657" spans="1:39" ht="45" customHeight="1" x14ac:dyDescent="0.25">
      <c r="A657" s="86"/>
      <c r="B657" s="86"/>
      <c r="C657" s="86"/>
      <c r="D657" s="86"/>
      <c r="E657" s="86"/>
      <c r="F657" s="86"/>
      <c r="G657" s="86"/>
      <c r="H657" s="86"/>
      <c r="I657" s="86"/>
      <c r="J657" s="86"/>
      <c r="K657" s="86"/>
      <c r="L657" s="102"/>
      <c r="M657" s="86"/>
      <c r="N657" s="86"/>
      <c r="O657" s="86"/>
      <c r="P657" s="86"/>
      <c r="Q657" s="86"/>
      <c r="R657" s="86"/>
      <c r="S657" s="86"/>
      <c r="T657" s="86"/>
      <c r="U657" s="8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  <c r="AH657" s="86"/>
      <c r="AI657" s="86"/>
      <c r="AJ657" s="86"/>
      <c r="AK657" s="86"/>
      <c r="AL657" s="86"/>
      <c r="AM657" s="86"/>
    </row>
    <row r="658" spans="1:39" ht="45" customHeight="1" x14ac:dyDescent="0.25">
      <c r="A658" s="86"/>
      <c r="B658" s="86"/>
      <c r="C658" s="86"/>
      <c r="D658" s="86"/>
      <c r="E658" s="86"/>
      <c r="F658" s="86"/>
      <c r="G658" s="86"/>
      <c r="H658" s="86"/>
      <c r="I658" s="86"/>
      <c r="J658" s="86"/>
      <c r="K658" s="86"/>
      <c r="L658" s="102"/>
      <c r="M658" s="86"/>
      <c r="N658" s="86"/>
      <c r="O658" s="86"/>
      <c r="P658" s="86"/>
      <c r="Q658" s="86"/>
      <c r="R658" s="86"/>
      <c r="S658" s="86"/>
      <c r="T658" s="86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  <c r="AH658" s="86"/>
      <c r="AI658" s="86"/>
      <c r="AJ658" s="86"/>
      <c r="AK658" s="86"/>
      <c r="AL658" s="86"/>
      <c r="AM658" s="86"/>
    </row>
    <row r="659" spans="1:39" ht="45" customHeight="1" x14ac:dyDescent="0.25">
      <c r="A659" s="86"/>
      <c r="B659" s="86"/>
      <c r="C659" s="86"/>
      <c r="D659" s="86"/>
      <c r="E659" s="86"/>
      <c r="F659" s="86"/>
      <c r="G659" s="86"/>
      <c r="H659" s="86"/>
      <c r="I659" s="86"/>
      <c r="J659" s="86"/>
      <c r="K659" s="86"/>
      <c r="L659" s="102"/>
      <c r="M659" s="86"/>
      <c r="N659" s="86"/>
      <c r="O659" s="86"/>
      <c r="P659" s="86"/>
      <c r="Q659" s="86"/>
      <c r="R659" s="86"/>
      <c r="S659" s="86"/>
      <c r="T659" s="86"/>
      <c r="U659" s="8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  <c r="AH659" s="86"/>
      <c r="AI659" s="86"/>
      <c r="AJ659" s="86"/>
      <c r="AK659" s="86"/>
      <c r="AL659" s="86"/>
      <c r="AM659" s="86"/>
    </row>
    <row r="660" spans="1:39" ht="45" customHeight="1" x14ac:dyDescent="0.25">
      <c r="A660" s="86"/>
      <c r="B660" s="86"/>
      <c r="C660" s="86"/>
      <c r="D660" s="86"/>
      <c r="E660" s="86"/>
      <c r="F660" s="86"/>
      <c r="G660" s="86"/>
      <c r="H660" s="86"/>
      <c r="I660" s="86"/>
      <c r="J660" s="86"/>
      <c r="K660" s="86"/>
      <c r="L660" s="102"/>
      <c r="M660" s="86"/>
      <c r="N660" s="86"/>
      <c r="O660" s="86"/>
      <c r="P660" s="86"/>
      <c r="Q660" s="86"/>
      <c r="R660" s="86"/>
      <c r="S660" s="86"/>
      <c r="T660" s="86"/>
      <c r="U660" s="8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  <c r="AH660" s="86"/>
      <c r="AI660" s="86"/>
      <c r="AJ660" s="86"/>
      <c r="AK660" s="86"/>
      <c r="AL660" s="86"/>
      <c r="AM660" s="86"/>
    </row>
    <row r="661" spans="1:39" ht="45" customHeight="1" x14ac:dyDescent="0.25">
      <c r="A661" s="86"/>
      <c r="B661" s="86"/>
      <c r="C661" s="86"/>
      <c r="D661" s="86"/>
      <c r="E661" s="86"/>
      <c r="F661" s="86"/>
      <c r="G661" s="86"/>
      <c r="H661" s="86"/>
      <c r="I661" s="86"/>
      <c r="J661" s="86"/>
      <c r="K661" s="86"/>
      <c r="L661" s="102"/>
      <c r="M661" s="86"/>
      <c r="N661" s="86"/>
      <c r="O661" s="86"/>
      <c r="P661" s="86"/>
      <c r="Q661" s="86"/>
      <c r="R661" s="86"/>
      <c r="S661" s="86"/>
      <c r="T661" s="86"/>
      <c r="U661" s="8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  <c r="AH661" s="86"/>
      <c r="AI661" s="86"/>
      <c r="AJ661" s="86"/>
      <c r="AK661" s="86"/>
      <c r="AL661" s="86"/>
      <c r="AM661" s="86"/>
    </row>
    <row r="662" spans="1:39" ht="45" customHeight="1" x14ac:dyDescent="0.25">
      <c r="A662" s="86"/>
      <c r="B662" s="86"/>
      <c r="C662" s="86"/>
      <c r="D662" s="86"/>
      <c r="E662" s="86"/>
      <c r="F662" s="86"/>
      <c r="G662" s="86"/>
      <c r="H662" s="86"/>
      <c r="I662" s="86"/>
      <c r="J662" s="86"/>
      <c r="K662" s="86"/>
      <c r="L662" s="102"/>
      <c r="M662" s="86"/>
      <c r="N662" s="86"/>
      <c r="O662" s="86"/>
      <c r="P662" s="86"/>
      <c r="Q662" s="86"/>
      <c r="R662" s="86"/>
      <c r="S662" s="86"/>
      <c r="T662" s="86"/>
      <c r="U662" s="8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  <c r="AH662" s="86"/>
      <c r="AI662" s="86"/>
      <c r="AJ662" s="86"/>
      <c r="AK662" s="86"/>
      <c r="AL662" s="86"/>
      <c r="AM662" s="86"/>
    </row>
    <row r="663" spans="1:39" ht="45" customHeight="1" x14ac:dyDescent="0.25">
      <c r="A663" s="86"/>
      <c r="B663" s="86"/>
      <c r="C663" s="86"/>
      <c r="D663" s="86"/>
      <c r="E663" s="86"/>
      <c r="F663" s="86"/>
      <c r="G663" s="86"/>
      <c r="H663" s="86"/>
      <c r="I663" s="86"/>
      <c r="J663" s="86"/>
      <c r="K663" s="86"/>
      <c r="L663" s="102"/>
      <c r="M663" s="86"/>
      <c r="N663" s="86"/>
      <c r="O663" s="86"/>
      <c r="P663" s="86"/>
      <c r="Q663" s="86"/>
      <c r="R663" s="86"/>
      <c r="S663" s="86"/>
      <c r="T663" s="86"/>
      <c r="U663" s="8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  <c r="AH663" s="86"/>
      <c r="AI663" s="86"/>
      <c r="AJ663" s="86"/>
      <c r="AK663" s="86"/>
      <c r="AL663" s="86"/>
      <c r="AM663" s="86"/>
    </row>
    <row r="664" spans="1:39" ht="45" customHeight="1" x14ac:dyDescent="0.25">
      <c r="A664" s="86"/>
      <c r="B664" s="86"/>
      <c r="C664" s="86"/>
      <c r="D664" s="86"/>
      <c r="E664" s="86"/>
      <c r="F664" s="86"/>
      <c r="G664" s="86"/>
      <c r="H664" s="86"/>
      <c r="I664" s="86"/>
      <c r="J664" s="86"/>
      <c r="K664" s="86"/>
      <c r="L664" s="102"/>
      <c r="M664" s="86"/>
      <c r="N664" s="86"/>
      <c r="O664" s="86"/>
      <c r="P664" s="86"/>
      <c r="Q664" s="86"/>
      <c r="R664" s="86"/>
      <c r="S664" s="86"/>
      <c r="T664" s="86"/>
      <c r="U664" s="8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  <c r="AH664" s="86"/>
      <c r="AI664" s="86"/>
      <c r="AJ664" s="86"/>
      <c r="AK664" s="86"/>
      <c r="AL664" s="86"/>
      <c r="AM664" s="86"/>
    </row>
    <row r="665" spans="1:39" ht="45" customHeight="1" x14ac:dyDescent="0.25">
      <c r="A665" s="86"/>
      <c r="B665" s="86"/>
      <c r="C665" s="86"/>
      <c r="D665" s="86"/>
      <c r="E665" s="86"/>
      <c r="F665" s="86"/>
      <c r="G665" s="86"/>
      <c r="H665" s="86"/>
      <c r="I665" s="86"/>
      <c r="J665" s="86"/>
      <c r="K665" s="86"/>
      <c r="L665" s="102"/>
      <c r="M665" s="86"/>
      <c r="N665" s="86"/>
      <c r="O665" s="86"/>
      <c r="P665" s="86"/>
      <c r="Q665" s="86"/>
      <c r="R665" s="86"/>
      <c r="S665" s="86"/>
      <c r="T665" s="86"/>
      <c r="U665" s="8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  <c r="AH665" s="86"/>
      <c r="AI665" s="86"/>
      <c r="AJ665" s="86"/>
      <c r="AK665" s="86"/>
      <c r="AL665" s="86"/>
      <c r="AM665" s="86"/>
    </row>
    <row r="666" spans="1:39" ht="45" customHeight="1" x14ac:dyDescent="0.25">
      <c r="A666" s="86"/>
      <c r="B666" s="86"/>
      <c r="C666" s="86"/>
      <c r="D666" s="86"/>
      <c r="E666" s="86"/>
      <c r="F666" s="86"/>
      <c r="G666" s="86"/>
      <c r="H666" s="86"/>
      <c r="I666" s="86"/>
      <c r="J666" s="86"/>
      <c r="K666" s="86"/>
      <c r="L666" s="102"/>
      <c r="M666" s="86"/>
      <c r="N666" s="86"/>
      <c r="O666" s="86"/>
      <c r="P666" s="86"/>
      <c r="Q666" s="86"/>
      <c r="R666" s="86"/>
      <c r="S666" s="86"/>
      <c r="T666" s="86"/>
      <c r="U666" s="86"/>
      <c r="V666" s="86"/>
      <c r="W666" s="86"/>
      <c r="X666" s="86"/>
      <c r="Y666" s="86"/>
      <c r="Z666" s="86"/>
      <c r="AA666" s="86"/>
      <c r="AB666" s="86"/>
      <c r="AC666" s="86"/>
      <c r="AD666" s="86"/>
      <c r="AE666" s="86"/>
      <c r="AF666" s="86"/>
      <c r="AG666" s="86"/>
      <c r="AH666" s="86"/>
      <c r="AI666" s="86"/>
      <c r="AJ666" s="86"/>
      <c r="AK666" s="86"/>
      <c r="AL666" s="86"/>
      <c r="AM666" s="86"/>
    </row>
    <row r="667" spans="1:39" ht="45" customHeight="1" x14ac:dyDescent="0.25">
      <c r="A667" s="86"/>
      <c r="B667" s="86"/>
      <c r="C667" s="86"/>
      <c r="D667" s="86"/>
      <c r="E667" s="86"/>
      <c r="F667" s="86"/>
      <c r="G667" s="86"/>
      <c r="H667" s="86"/>
      <c r="I667" s="86"/>
      <c r="J667" s="86"/>
      <c r="K667" s="86"/>
      <c r="L667" s="102"/>
      <c r="M667" s="86"/>
      <c r="N667" s="86"/>
      <c r="O667" s="86"/>
      <c r="P667" s="86"/>
      <c r="Q667" s="86"/>
      <c r="R667" s="86"/>
      <c r="S667" s="86"/>
      <c r="T667" s="86"/>
      <c r="U667" s="8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  <c r="AH667" s="86"/>
      <c r="AI667" s="86"/>
      <c r="AJ667" s="86"/>
      <c r="AK667" s="86"/>
      <c r="AL667" s="86"/>
      <c r="AM667" s="86"/>
    </row>
    <row r="668" spans="1:39" ht="45" customHeight="1" x14ac:dyDescent="0.25">
      <c r="A668" s="86"/>
      <c r="B668" s="86"/>
      <c r="C668" s="86"/>
      <c r="D668" s="86"/>
      <c r="E668" s="86"/>
      <c r="F668" s="86"/>
      <c r="G668" s="86"/>
      <c r="H668" s="86"/>
      <c r="I668" s="86"/>
      <c r="J668" s="86"/>
      <c r="K668" s="86"/>
      <c r="L668" s="102"/>
      <c r="M668" s="86"/>
      <c r="N668" s="86"/>
      <c r="O668" s="86"/>
      <c r="P668" s="86"/>
      <c r="Q668" s="86"/>
      <c r="R668" s="86"/>
      <c r="S668" s="86"/>
      <c r="T668" s="86"/>
      <c r="U668" s="8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  <c r="AH668" s="86"/>
      <c r="AI668" s="86"/>
      <c r="AJ668" s="86"/>
      <c r="AK668" s="86"/>
      <c r="AL668" s="86"/>
      <c r="AM668" s="86"/>
    </row>
    <row r="669" spans="1:39" ht="15.75" customHeight="1" x14ac:dyDescent="0.25"/>
    <row r="670" spans="1:39" ht="15.75" customHeight="1" x14ac:dyDescent="0.25"/>
    <row r="671" spans="1:39" ht="15.75" customHeight="1" x14ac:dyDescent="0.25"/>
    <row r="672" spans="1:39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</sheetData>
  <pageMargins left="0.7" right="0.7" top="0.75" bottom="0.75" header="0" footer="0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ErrorMessage="1" xr:uid="{00000000-0002-0000-0000-000007000000}">
          <x14:formula1>
            <xm:f>'NO MODIFICAR'!$K$3:$K$5</xm:f>
          </x14:formula1>
          <xm:sqref>AC9 AE9 X6:AE6 X7:AA7 X2:Z5 AC7:AE8 X8:Z22</xm:sqref>
        </x14:dataValidation>
        <x14:dataValidation type="list" allowBlank="1" showErrorMessage="1" xr:uid="{00000000-0002-0000-0000-000008000000}">
          <x14:formula1>
            <xm:f>'NO MODIFICAR'!$N$3:$N$5</xm:f>
          </x14:formula1>
          <xm:sqref>AB2:AC5 AB7:AB9 AB10:AC22</xm:sqref>
        </x14:dataValidation>
        <x14:dataValidation type="list" allowBlank="1" showErrorMessage="1" xr:uid="{00000000-0002-0000-0000-00000C000000}">
          <x14:formula1>
            <xm:f>'NO MODIFICAR'!$R$3:$R$5</xm:f>
          </x14:formula1>
          <xm:sqref>AE2:AG5 AF6:AG9 AI2:AJ22 AE10:AG22</xm:sqref>
        </x14:dataValidation>
        <x14:dataValidation type="list" allowBlank="1" showErrorMessage="1" xr:uid="{00000000-0002-0000-0000-00000D000000}">
          <x14:formula1>
            <xm:f>'NO MODIFICAR'!$P$3:$P$7</xm:f>
          </x14:formula1>
          <xm:sqref>AD2:AD5 AD9:AD22</xm:sqref>
        </x14:dataValidation>
        <x14:dataValidation type="list" allowBlank="1" showErrorMessage="1" xr:uid="{00000000-0002-0000-0000-00000E000000}">
          <x14:formula1>
            <xm:f>'NO MODIFICAR'!$L$3:$L$5</xm:f>
          </x14:formula1>
          <xm:sqref>AA2:AA5 AA8:AA22</xm:sqref>
        </x14:dataValidation>
        <x14:dataValidation type="list" allowBlank="1" showErrorMessage="1" xr:uid="{00000000-0002-0000-0000-000003000000}">
          <x14:formula1>
            <xm:f>'NO MODIFICAR'!$H$3:$H$5</xm:f>
          </x14:formula1>
          <xm:sqref>M2:M6</xm:sqref>
        </x14:dataValidation>
        <x14:dataValidation type="list" allowBlank="1" showErrorMessage="1" xr:uid="{00000000-0002-0000-0000-000002000000}">
          <x14:formula1>
            <xm:f>'NO MODIFICAR'!$H$3:$H$9</xm:f>
          </x14:formula1>
          <xm:sqref>M7:M22</xm:sqref>
        </x14:dataValidation>
        <x14:dataValidation type="list" allowBlank="1" showErrorMessage="1" xr:uid="{00000000-0002-0000-0000-000004000000}">
          <x14:formula1>
            <xm:f>'NO MODIFICAR'!$F$4:$F$10</xm:f>
          </x14:formula1>
          <xm:sqref>AL2:AL22</xm:sqref>
        </x14:dataValidation>
        <x14:dataValidation type="list" allowBlank="1" showErrorMessage="1" xr:uid="{00000000-0002-0000-0000-000000000000}">
          <x14:formula1>
            <xm:f>'NO MODIFICAR'!$I$3:$I$5</xm:f>
          </x14:formula1>
          <xm:sqref>U2:U169</xm:sqref>
        </x14:dataValidation>
        <x14:dataValidation type="list" allowBlank="1" showErrorMessage="1" xr:uid="{00000000-0002-0000-0000-000001000000}">
          <x14:formula1>
            <xm:f>'NO MODIFICAR'!$S$3:$S$6</xm:f>
          </x14:formula1>
          <xm:sqref>AH2:AH22</xm:sqref>
        </x14:dataValidation>
        <x14:dataValidation type="list" allowBlank="1" showErrorMessage="1" xr:uid="{00000000-0002-0000-0000-000006000000}">
          <x14:formula1>
            <xm:f>'NO MODIFICAR'!$E$3:$E$9</xm:f>
          </x14:formula1>
          <xm:sqref>L2:L400</xm:sqref>
        </x14:dataValidation>
        <x14:dataValidation type="list" allowBlank="1" showErrorMessage="1" xr:uid="{00000000-0002-0000-0000-000009000000}">
          <x14:formula1>
            <xm:f>'NO MODIFICAR'!$C$4:$C$5</xm:f>
          </x14:formula1>
          <xm:sqref>I2:I22</xm:sqref>
        </x14:dataValidation>
        <x14:dataValidation type="list" allowBlank="1" showErrorMessage="1" xr:uid="{00000000-0002-0000-0000-00000A000000}">
          <x14:formula1>
            <xm:f>'NO MODIFICAR'!$B$3:$B$4</xm:f>
          </x14:formula1>
          <xm:sqref>B2:B22</xm:sqref>
        </x14:dataValidation>
        <x14:dataValidation type="list" allowBlank="1" showErrorMessage="1" xr:uid="{00000000-0002-0000-0000-00000B000000}">
          <x14:formula1>
            <xm:f>'NO MODIFICAR'!$D$4:$D$12</xm:f>
          </x14:formula1>
          <xm:sqref>P2:P22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G545"/>
  <sheetViews>
    <sheetView tabSelected="1" zoomScale="60" zoomScaleNormal="60" workbookViewId="0">
      <pane ySplit="2" topLeftCell="A57" activePane="bottomLeft" state="frozen"/>
      <selection pane="bottomLeft" activeCell="L36" sqref="L36"/>
    </sheetView>
  </sheetViews>
  <sheetFormatPr baseColWidth="10" defaultColWidth="14.42578125" defaultRowHeight="15" customHeight="1" x14ac:dyDescent="0.25"/>
  <cols>
    <col min="1" max="1" width="11.5703125" customWidth="1"/>
    <col min="2" max="2" width="15" customWidth="1"/>
    <col min="3" max="3" width="52.28515625" customWidth="1"/>
    <col min="4" max="4" width="25" customWidth="1"/>
    <col min="5" max="5" width="23.140625" customWidth="1"/>
    <col min="6" max="6" width="26.28515625" customWidth="1"/>
    <col min="7" max="7" width="23.42578125" customWidth="1"/>
    <col min="8" max="8" width="24.28515625" customWidth="1"/>
    <col min="9" max="9" width="9.7109375" customWidth="1"/>
    <col min="10" max="10" width="7" customWidth="1"/>
    <col min="11" max="11" width="13" customWidth="1"/>
    <col min="12" max="12" width="19.7109375" style="99" customWidth="1"/>
    <col min="13" max="13" width="13" customWidth="1"/>
    <col min="14" max="14" width="14.140625" customWidth="1"/>
    <col min="15" max="15" width="18.5703125" customWidth="1"/>
    <col min="16" max="16" width="17.140625" customWidth="1"/>
    <col min="17" max="17" width="41" customWidth="1"/>
    <col min="18" max="18" width="49.5703125" customWidth="1"/>
    <col min="19" max="19" width="16" customWidth="1"/>
    <col min="20" max="20" width="20" customWidth="1"/>
    <col min="21" max="21" width="13.140625" customWidth="1"/>
    <col min="22" max="22" width="20.28515625" customWidth="1"/>
    <col min="23" max="23" width="22.85546875" customWidth="1"/>
    <col min="24" max="24" width="7.5703125" customWidth="1"/>
    <col min="25" max="25" width="7.140625" customWidth="1"/>
    <col min="26" max="26" width="7.42578125" customWidth="1"/>
    <col min="27" max="27" width="12.140625" customWidth="1"/>
    <col min="28" max="29" width="10.28515625" customWidth="1"/>
    <col min="30" max="30" width="11.7109375" customWidth="1"/>
    <col min="31" max="31" width="6.5703125" customWidth="1"/>
    <col min="32" max="32" width="11.85546875" customWidth="1"/>
    <col min="33" max="33" width="10.5703125" customWidth="1"/>
    <col min="34" max="34" width="13.28515625" customWidth="1"/>
    <col min="35" max="35" width="11.28515625" customWidth="1"/>
    <col min="36" max="36" width="10.7109375" customWidth="1"/>
    <col min="37" max="38" width="23.140625" customWidth="1"/>
    <col min="39" max="41" width="45.140625" customWidth="1"/>
  </cols>
  <sheetData>
    <row r="1" spans="1:59" x14ac:dyDescent="0.25">
      <c r="B1" s="19"/>
      <c r="X1" s="40"/>
      <c r="Y1" s="41"/>
      <c r="Z1" s="42" t="s">
        <v>170</v>
      </c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59" ht="77.25" customHeight="1" x14ac:dyDescent="0.25">
      <c r="A2" s="43" t="s">
        <v>0</v>
      </c>
      <c r="B2" s="44" t="s">
        <v>1</v>
      </c>
      <c r="C2" s="6" t="s">
        <v>2</v>
      </c>
      <c r="D2" s="6" t="s">
        <v>3</v>
      </c>
      <c r="E2" s="45" t="s">
        <v>4</v>
      </c>
      <c r="F2" s="45" t="s">
        <v>5</v>
      </c>
      <c r="G2" s="45" t="s">
        <v>6</v>
      </c>
      <c r="H2" s="45" t="s">
        <v>7</v>
      </c>
      <c r="I2" s="45" t="s">
        <v>8</v>
      </c>
      <c r="J2" s="45" t="s">
        <v>9</v>
      </c>
      <c r="K2" s="6" t="s">
        <v>171</v>
      </c>
      <c r="L2" s="6" t="s">
        <v>11</v>
      </c>
      <c r="M2" s="6" t="s">
        <v>12</v>
      </c>
      <c r="N2" s="6" t="s">
        <v>13</v>
      </c>
      <c r="O2" s="45" t="s">
        <v>14</v>
      </c>
      <c r="P2" s="6" t="s">
        <v>15</v>
      </c>
      <c r="Q2" s="6" t="s">
        <v>16</v>
      </c>
      <c r="R2" s="45" t="s">
        <v>17</v>
      </c>
      <c r="S2" s="6" t="s">
        <v>18</v>
      </c>
      <c r="T2" s="45" t="s">
        <v>19</v>
      </c>
      <c r="U2" s="6" t="s">
        <v>20</v>
      </c>
      <c r="V2" s="45" t="s">
        <v>21</v>
      </c>
      <c r="W2" s="45" t="s">
        <v>22</v>
      </c>
      <c r="X2" s="46" t="s">
        <v>23</v>
      </c>
      <c r="Y2" s="46" t="s">
        <v>24</v>
      </c>
      <c r="Z2" s="46" t="s">
        <v>25</v>
      </c>
      <c r="AA2" s="47" t="s">
        <v>26</v>
      </c>
      <c r="AB2" s="46" t="s">
        <v>27</v>
      </c>
      <c r="AC2" s="46" t="s">
        <v>28</v>
      </c>
      <c r="AD2" s="46" t="s">
        <v>29</v>
      </c>
      <c r="AE2" s="47" t="s">
        <v>30</v>
      </c>
      <c r="AF2" s="46" t="s">
        <v>31</v>
      </c>
      <c r="AG2" s="47" t="s">
        <v>32</v>
      </c>
      <c r="AH2" s="47" t="s">
        <v>33</v>
      </c>
      <c r="AI2" s="47" t="s">
        <v>34</v>
      </c>
      <c r="AJ2" s="47" t="s">
        <v>35</v>
      </c>
      <c r="AK2" s="45" t="s">
        <v>4</v>
      </c>
      <c r="AL2" s="45" t="s">
        <v>36</v>
      </c>
      <c r="AM2" s="45" t="s">
        <v>37</v>
      </c>
      <c r="AN2" s="9"/>
      <c r="AO2" s="9"/>
    </row>
    <row r="3" spans="1:59" ht="36" customHeight="1" x14ac:dyDescent="0.25">
      <c r="A3" s="48">
        <v>1</v>
      </c>
      <c r="B3" s="49" t="s">
        <v>172</v>
      </c>
      <c r="C3" s="12">
        <v>45097</v>
      </c>
      <c r="D3" s="13">
        <v>13</v>
      </c>
      <c r="E3" s="50">
        <v>45111</v>
      </c>
      <c r="F3" s="15" t="s">
        <v>94</v>
      </c>
      <c r="G3" s="15" t="s">
        <v>95</v>
      </c>
      <c r="H3" s="15" t="s">
        <v>96</v>
      </c>
      <c r="I3" s="13" t="s">
        <v>59</v>
      </c>
      <c r="J3" s="13">
        <v>41</v>
      </c>
      <c r="K3" s="13" t="s">
        <v>97</v>
      </c>
      <c r="L3" s="60" t="s">
        <v>51</v>
      </c>
      <c r="M3" s="13" t="s">
        <v>173</v>
      </c>
      <c r="N3" s="12">
        <v>30114</v>
      </c>
      <c r="O3" s="13">
        <v>20210139546</v>
      </c>
      <c r="P3" s="13" t="s">
        <v>61</v>
      </c>
      <c r="Q3" s="16" t="s">
        <v>174</v>
      </c>
      <c r="R3" s="16" t="s">
        <v>99</v>
      </c>
      <c r="S3" s="13" t="s">
        <v>64</v>
      </c>
      <c r="T3" s="13" t="s">
        <v>100</v>
      </c>
      <c r="U3" s="13" t="s">
        <v>66</v>
      </c>
      <c r="V3" s="13">
        <v>920519776</v>
      </c>
      <c r="W3" s="13" t="s">
        <v>50</v>
      </c>
      <c r="X3" s="13" t="s">
        <v>51</v>
      </c>
      <c r="Y3" s="13" t="s">
        <v>51</v>
      </c>
      <c r="Z3" s="13" t="s">
        <v>51</v>
      </c>
      <c r="AA3" s="13" t="s">
        <v>53</v>
      </c>
      <c r="AB3" s="13" t="s">
        <v>51</v>
      </c>
      <c r="AC3" s="13" t="s">
        <v>51</v>
      </c>
      <c r="AD3" s="16" t="s">
        <v>51</v>
      </c>
      <c r="AE3" s="13" t="s">
        <v>54</v>
      </c>
      <c r="AF3" s="13" t="s">
        <v>54</v>
      </c>
      <c r="AG3" s="13" t="s">
        <v>54</v>
      </c>
      <c r="AH3" s="13" t="s">
        <v>51</v>
      </c>
      <c r="AI3" s="13" t="s">
        <v>51</v>
      </c>
      <c r="AJ3" s="13" t="s">
        <v>51</v>
      </c>
      <c r="AK3" s="50">
        <v>45111</v>
      </c>
      <c r="AL3" s="13" t="s">
        <v>175</v>
      </c>
      <c r="AM3" s="13" t="s">
        <v>176</v>
      </c>
      <c r="AN3" s="51"/>
      <c r="AO3" s="51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</row>
    <row r="4" spans="1:59" ht="43.5" customHeight="1" x14ac:dyDescent="0.25">
      <c r="A4" s="48">
        <v>2</v>
      </c>
      <c r="B4" s="49" t="s">
        <v>172</v>
      </c>
      <c r="C4" s="12">
        <v>45097</v>
      </c>
      <c r="D4" s="13">
        <v>6</v>
      </c>
      <c r="E4" s="12">
        <v>45103</v>
      </c>
      <c r="F4" s="15" t="s">
        <v>85</v>
      </c>
      <c r="G4" s="15" t="s">
        <v>86</v>
      </c>
      <c r="H4" s="15" t="s">
        <v>87</v>
      </c>
      <c r="I4" s="13" t="s">
        <v>59</v>
      </c>
      <c r="J4" s="13">
        <v>72</v>
      </c>
      <c r="K4" s="13" t="s">
        <v>88</v>
      </c>
      <c r="L4" s="60" t="s">
        <v>51</v>
      </c>
      <c r="M4" s="13" t="s">
        <v>177</v>
      </c>
      <c r="N4" s="12">
        <v>18574</v>
      </c>
      <c r="O4" s="13">
        <v>200530684</v>
      </c>
      <c r="P4" s="13" t="s">
        <v>89</v>
      </c>
      <c r="Q4" s="16" t="s">
        <v>90</v>
      </c>
      <c r="R4" s="16" t="s">
        <v>91</v>
      </c>
      <c r="S4" s="13">
        <v>1201</v>
      </c>
      <c r="T4" s="13" t="s">
        <v>48</v>
      </c>
      <c r="U4" s="13" t="s">
        <v>49</v>
      </c>
      <c r="V4" s="13">
        <v>978396779</v>
      </c>
      <c r="W4" s="13" t="s">
        <v>50</v>
      </c>
      <c r="X4" s="13" t="s">
        <v>51</v>
      </c>
      <c r="Y4" s="13" t="s">
        <v>52</v>
      </c>
      <c r="Z4" s="13" t="s">
        <v>51</v>
      </c>
      <c r="AA4" s="13" t="s">
        <v>53</v>
      </c>
      <c r="AB4" s="13" t="s">
        <v>51</v>
      </c>
      <c r="AC4" s="13" t="s">
        <v>54</v>
      </c>
      <c r="AD4" s="16" t="s">
        <v>178</v>
      </c>
      <c r="AE4" s="13" t="s">
        <v>54</v>
      </c>
      <c r="AF4" s="13" t="s">
        <v>54</v>
      </c>
      <c r="AG4" s="13" t="s">
        <v>54</v>
      </c>
      <c r="AH4" s="13" t="s">
        <v>108</v>
      </c>
      <c r="AI4" s="13" t="s">
        <v>54</v>
      </c>
      <c r="AJ4" s="13" t="s">
        <v>51</v>
      </c>
      <c r="AK4" s="52">
        <v>45103</v>
      </c>
      <c r="AL4" s="17" t="s">
        <v>175</v>
      </c>
      <c r="AM4" s="29" t="s">
        <v>179</v>
      </c>
      <c r="AN4" s="53"/>
      <c r="AO4" s="53"/>
    </row>
    <row r="5" spans="1:59" ht="34.5" customHeight="1" x14ac:dyDescent="0.25">
      <c r="A5" s="48">
        <v>3</v>
      </c>
      <c r="B5" s="49" t="s">
        <v>172</v>
      </c>
      <c r="C5" s="12">
        <v>45098</v>
      </c>
      <c r="D5" s="13">
        <v>5</v>
      </c>
      <c r="E5" s="12">
        <v>45105</v>
      </c>
      <c r="F5" s="15" t="s">
        <v>180</v>
      </c>
      <c r="G5" s="15" t="s">
        <v>181</v>
      </c>
      <c r="H5" s="15" t="s">
        <v>182</v>
      </c>
      <c r="I5" s="13" t="s">
        <v>42</v>
      </c>
      <c r="J5" s="13">
        <v>81</v>
      </c>
      <c r="K5" s="13" t="s">
        <v>183</v>
      </c>
      <c r="L5" s="60" t="s">
        <v>51</v>
      </c>
      <c r="M5" s="13" t="s">
        <v>142</v>
      </c>
      <c r="N5" s="12">
        <v>15325</v>
      </c>
      <c r="O5" s="13">
        <v>200637648</v>
      </c>
      <c r="P5" s="13" t="s">
        <v>73</v>
      </c>
      <c r="Q5" s="16" t="s">
        <v>74</v>
      </c>
      <c r="R5" s="16" t="s">
        <v>184</v>
      </c>
      <c r="S5" s="13">
        <v>902</v>
      </c>
      <c r="T5" s="13" t="s">
        <v>48</v>
      </c>
      <c r="U5" s="13" t="s">
        <v>49</v>
      </c>
      <c r="V5" s="54">
        <v>976633523</v>
      </c>
      <c r="W5" s="13" t="s">
        <v>50</v>
      </c>
      <c r="X5" s="13" t="s">
        <v>52</v>
      </c>
      <c r="Y5" s="13" t="s">
        <v>51</v>
      </c>
      <c r="Z5" s="13" t="s">
        <v>51</v>
      </c>
      <c r="AA5" s="13" t="s">
        <v>51</v>
      </c>
      <c r="AB5" s="13" t="s">
        <v>54</v>
      </c>
      <c r="AC5" s="13" t="s">
        <v>76</v>
      </c>
      <c r="AD5" s="16" t="s">
        <v>107</v>
      </c>
      <c r="AE5" s="13" t="s">
        <v>54</v>
      </c>
      <c r="AF5" s="13" t="s">
        <v>54</v>
      </c>
      <c r="AG5" s="13" t="s">
        <v>54</v>
      </c>
      <c r="AH5" s="13" t="s">
        <v>51</v>
      </c>
      <c r="AI5" s="13" t="s">
        <v>51</v>
      </c>
      <c r="AJ5" s="13" t="s">
        <v>51</v>
      </c>
      <c r="AK5" s="25">
        <v>45105</v>
      </c>
      <c r="AL5" s="17" t="s">
        <v>185</v>
      </c>
      <c r="AM5" s="17" t="s">
        <v>186</v>
      </c>
      <c r="AN5" s="18"/>
      <c r="AO5" s="18"/>
    </row>
    <row r="6" spans="1:59" ht="34.5" customHeight="1" x14ac:dyDescent="0.25">
      <c r="A6" s="48">
        <v>4</v>
      </c>
      <c r="B6" s="49" t="s">
        <v>172</v>
      </c>
      <c r="C6" s="12">
        <v>45098</v>
      </c>
      <c r="D6" s="13">
        <v>9</v>
      </c>
      <c r="E6" s="12">
        <v>45106</v>
      </c>
      <c r="F6" s="15" t="s">
        <v>187</v>
      </c>
      <c r="G6" s="15" t="s">
        <v>188</v>
      </c>
      <c r="H6" s="15" t="s">
        <v>189</v>
      </c>
      <c r="I6" s="13" t="s">
        <v>59</v>
      </c>
      <c r="J6" s="13">
        <v>82</v>
      </c>
      <c r="K6" s="13" t="s">
        <v>190</v>
      </c>
      <c r="L6" s="60" t="s">
        <v>51</v>
      </c>
      <c r="M6" s="13" t="s">
        <v>142</v>
      </c>
      <c r="N6" s="12">
        <v>14939</v>
      </c>
      <c r="O6" s="13">
        <v>2010061357</v>
      </c>
      <c r="P6" s="13" t="s">
        <v>73</v>
      </c>
      <c r="Q6" s="16" t="s">
        <v>74</v>
      </c>
      <c r="R6" s="16" t="s">
        <v>191</v>
      </c>
      <c r="S6" s="13" t="s">
        <v>64</v>
      </c>
      <c r="T6" s="13" t="s">
        <v>192</v>
      </c>
      <c r="U6" s="13" t="s">
        <v>66</v>
      </c>
      <c r="V6" s="13">
        <v>966736600</v>
      </c>
      <c r="W6" s="13" t="s">
        <v>50</v>
      </c>
      <c r="X6" s="13" t="s">
        <v>52</v>
      </c>
      <c r="Y6" s="13" t="s">
        <v>51</v>
      </c>
      <c r="Z6" s="13" t="s">
        <v>51</v>
      </c>
      <c r="AA6" s="13" t="s">
        <v>51</v>
      </c>
      <c r="AB6" s="13" t="s">
        <v>54</v>
      </c>
      <c r="AC6" s="13" t="s">
        <v>51</v>
      </c>
      <c r="AD6" s="16" t="s">
        <v>193</v>
      </c>
      <c r="AE6" s="13" t="s">
        <v>54</v>
      </c>
      <c r="AF6" s="13" t="s">
        <v>54</v>
      </c>
      <c r="AG6" s="13" t="s">
        <v>54</v>
      </c>
      <c r="AH6" s="13" t="s">
        <v>51</v>
      </c>
      <c r="AI6" s="13" t="s">
        <v>51</v>
      </c>
      <c r="AJ6" s="13" t="s">
        <v>51</v>
      </c>
      <c r="AK6" s="25">
        <v>45106</v>
      </c>
      <c r="AL6" s="17" t="s">
        <v>185</v>
      </c>
      <c r="AM6" s="17" t="s">
        <v>186</v>
      </c>
      <c r="AN6" s="18"/>
      <c r="AO6" s="18"/>
    </row>
    <row r="7" spans="1:59" ht="32.25" customHeight="1" x14ac:dyDescent="0.25">
      <c r="A7" s="48">
        <v>5</v>
      </c>
      <c r="B7" s="49" t="s">
        <v>172</v>
      </c>
      <c r="C7" s="52">
        <v>45100</v>
      </c>
      <c r="D7" s="55">
        <v>18</v>
      </c>
      <c r="E7" s="56">
        <v>45118</v>
      </c>
      <c r="F7" s="57" t="s">
        <v>194</v>
      </c>
      <c r="G7" s="57" t="s">
        <v>195</v>
      </c>
      <c r="H7" s="57" t="s">
        <v>196</v>
      </c>
      <c r="I7" s="55" t="s">
        <v>42</v>
      </c>
      <c r="J7" s="55">
        <v>84</v>
      </c>
      <c r="K7" s="55" t="s">
        <v>197</v>
      </c>
      <c r="L7" s="60" t="s">
        <v>51</v>
      </c>
      <c r="M7" s="13" t="s">
        <v>142</v>
      </c>
      <c r="N7" s="52">
        <v>14255</v>
      </c>
      <c r="O7" s="55">
        <v>2011069138</v>
      </c>
      <c r="P7" s="55" t="s">
        <v>89</v>
      </c>
      <c r="Q7" s="55" t="s">
        <v>198</v>
      </c>
      <c r="R7" s="55">
        <v>945</v>
      </c>
      <c r="S7" s="55" t="s">
        <v>48</v>
      </c>
      <c r="T7" s="55">
        <v>993476044</v>
      </c>
      <c r="U7" s="13" t="s">
        <v>49</v>
      </c>
      <c r="V7" s="55" t="s">
        <v>50</v>
      </c>
      <c r="W7" s="55" t="s">
        <v>52</v>
      </c>
      <c r="X7" s="55" t="s">
        <v>51</v>
      </c>
      <c r="Y7" s="55" t="s">
        <v>51</v>
      </c>
      <c r="Z7" s="55" t="s">
        <v>51</v>
      </c>
      <c r="AA7" s="55" t="s">
        <v>51</v>
      </c>
      <c r="AB7" s="55" t="s">
        <v>51</v>
      </c>
      <c r="AC7" s="58" t="s">
        <v>107</v>
      </c>
      <c r="AD7" s="55" t="s">
        <v>54</v>
      </c>
      <c r="AE7" s="55" t="s">
        <v>54</v>
      </c>
      <c r="AF7" s="55" t="s">
        <v>54</v>
      </c>
      <c r="AG7" s="55" t="s">
        <v>51</v>
      </c>
      <c r="AH7" s="55" t="s">
        <v>51</v>
      </c>
      <c r="AI7" s="55" t="s">
        <v>51</v>
      </c>
      <c r="AJ7" s="13" t="s">
        <v>51</v>
      </c>
      <c r="AK7" s="25">
        <v>45118</v>
      </c>
      <c r="AL7" s="17" t="s">
        <v>185</v>
      </c>
      <c r="AM7" s="17" t="s">
        <v>186</v>
      </c>
    </row>
    <row r="8" spans="1:59" ht="31.5" customHeight="1" x14ac:dyDescent="0.25">
      <c r="A8" s="48">
        <v>6</v>
      </c>
      <c r="B8" s="49" t="s">
        <v>172</v>
      </c>
      <c r="C8" s="12">
        <v>45100</v>
      </c>
      <c r="D8" s="13">
        <v>27</v>
      </c>
      <c r="E8" s="91">
        <v>45127</v>
      </c>
      <c r="F8" s="15" t="s">
        <v>39</v>
      </c>
      <c r="G8" s="15" t="s">
        <v>40</v>
      </c>
      <c r="H8" s="15" t="s">
        <v>41</v>
      </c>
      <c r="I8" s="13" t="s">
        <v>42</v>
      </c>
      <c r="J8" s="13">
        <v>90</v>
      </c>
      <c r="K8" s="13" t="s">
        <v>43</v>
      </c>
      <c r="L8" s="60" t="s">
        <v>51</v>
      </c>
      <c r="M8" s="13" t="s">
        <v>142</v>
      </c>
      <c r="N8" s="12">
        <v>11918</v>
      </c>
      <c r="O8" s="13">
        <v>2004026560</v>
      </c>
      <c r="P8" s="13" t="s">
        <v>45</v>
      </c>
      <c r="Q8" s="16" t="s">
        <v>46</v>
      </c>
      <c r="R8" s="16" t="s">
        <v>47</v>
      </c>
      <c r="S8" s="13">
        <v>1099</v>
      </c>
      <c r="T8" s="13" t="s">
        <v>48</v>
      </c>
      <c r="U8" s="13" t="s">
        <v>49</v>
      </c>
      <c r="V8" s="13">
        <v>954259684</v>
      </c>
      <c r="W8" s="13" t="s">
        <v>50</v>
      </c>
      <c r="X8" s="13" t="s">
        <v>51</v>
      </c>
      <c r="Y8" s="13" t="s">
        <v>52</v>
      </c>
      <c r="Z8" s="13" t="s">
        <v>51</v>
      </c>
      <c r="AA8" s="13" t="s">
        <v>53</v>
      </c>
      <c r="AB8" s="13" t="s">
        <v>51</v>
      </c>
      <c r="AC8" s="13" t="s">
        <v>51</v>
      </c>
      <c r="AD8" s="16" t="s">
        <v>51</v>
      </c>
      <c r="AE8" s="13" t="s">
        <v>54</v>
      </c>
      <c r="AF8" s="13" t="s">
        <v>54</v>
      </c>
      <c r="AG8" s="13" t="s">
        <v>54</v>
      </c>
      <c r="AH8" s="13" t="s">
        <v>55</v>
      </c>
      <c r="AI8" s="13" t="s">
        <v>51</v>
      </c>
      <c r="AJ8" s="13" t="s">
        <v>51</v>
      </c>
      <c r="AK8" s="25">
        <v>45127</v>
      </c>
      <c r="AL8" s="17" t="s">
        <v>185</v>
      </c>
      <c r="AM8" s="17" t="s">
        <v>186</v>
      </c>
      <c r="AN8" s="18"/>
      <c r="AO8" s="18"/>
    </row>
    <row r="9" spans="1:59" ht="36" customHeight="1" x14ac:dyDescent="0.25">
      <c r="A9" s="48">
        <v>7</v>
      </c>
      <c r="B9" s="49" t="s">
        <v>172</v>
      </c>
      <c r="C9" s="12">
        <v>45100</v>
      </c>
      <c r="D9" s="13">
        <f>DAYS360(C9,E9)</f>
        <v>17</v>
      </c>
      <c r="E9" s="12">
        <v>45117</v>
      </c>
      <c r="F9" s="15" t="s">
        <v>199</v>
      </c>
      <c r="G9" s="15" t="s">
        <v>200</v>
      </c>
      <c r="H9" s="15" t="s">
        <v>201</v>
      </c>
      <c r="I9" s="13" t="s">
        <v>42</v>
      </c>
      <c r="J9" s="13">
        <v>77</v>
      </c>
      <c r="K9" s="13" t="s">
        <v>202</v>
      </c>
      <c r="L9" s="60" t="s">
        <v>51</v>
      </c>
      <c r="M9" s="13" t="s">
        <v>142</v>
      </c>
      <c r="N9" s="12">
        <v>16661</v>
      </c>
      <c r="O9" s="13">
        <v>2013076472</v>
      </c>
      <c r="P9" s="13" t="s">
        <v>73</v>
      </c>
      <c r="Q9" s="16" t="s">
        <v>132</v>
      </c>
      <c r="R9" s="16" t="s">
        <v>203</v>
      </c>
      <c r="S9" s="13">
        <v>150</v>
      </c>
      <c r="T9" s="13" t="s">
        <v>48</v>
      </c>
      <c r="U9" s="13" t="s">
        <v>49</v>
      </c>
      <c r="V9" s="13">
        <v>949751651</v>
      </c>
      <c r="W9" s="13" t="s">
        <v>50</v>
      </c>
      <c r="X9" s="13" t="s">
        <v>51</v>
      </c>
      <c r="Y9" s="13" t="s">
        <v>92</v>
      </c>
      <c r="Z9" s="13" t="s">
        <v>51</v>
      </c>
      <c r="AA9" s="13" t="s">
        <v>51</v>
      </c>
      <c r="AB9" s="13" t="s">
        <v>51</v>
      </c>
      <c r="AC9" s="13" t="s">
        <v>51</v>
      </c>
      <c r="AD9" s="16" t="s">
        <v>51</v>
      </c>
      <c r="AE9" s="13" t="s">
        <v>54</v>
      </c>
      <c r="AF9" s="13" t="s">
        <v>54</v>
      </c>
      <c r="AG9" s="13" t="s">
        <v>54</v>
      </c>
      <c r="AH9" s="13" t="s">
        <v>55</v>
      </c>
      <c r="AI9" s="13" t="s">
        <v>51</v>
      </c>
      <c r="AJ9" s="13" t="s">
        <v>51</v>
      </c>
      <c r="AK9" s="12">
        <v>45117</v>
      </c>
      <c r="AL9" s="13" t="s">
        <v>175</v>
      </c>
      <c r="AM9" s="13" t="s">
        <v>204</v>
      </c>
      <c r="AN9" s="51"/>
      <c r="AO9" s="51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</row>
    <row r="10" spans="1:59" ht="43.5" customHeight="1" x14ac:dyDescent="0.25">
      <c r="A10" s="48">
        <v>8</v>
      </c>
      <c r="B10" s="49" t="s">
        <v>172</v>
      </c>
      <c r="C10" s="12">
        <v>45102</v>
      </c>
      <c r="D10" s="13">
        <f t="shared" ref="D10:D16" si="0">DAYS360(C10,E10)</f>
        <v>3</v>
      </c>
      <c r="E10" s="12">
        <v>45105</v>
      </c>
      <c r="F10" s="15" t="s">
        <v>205</v>
      </c>
      <c r="G10" s="15" t="s">
        <v>206</v>
      </c>
      <c r="H10" s="15" t="s">
        <v>207</v>
      </c>
      <c r="I10" s="13" t="s">
        <v>59</v>
      </c>
      <c r="J10" s="13">
        <v>63</v>
      </c>
      <c r="K10" s="13" t="s">
        <v>208</v>
      </c>
      <c r="L10" s="60" t="s">
        <v>51</v>
      </c>
      <c r="M10" s="13" t="s">
        <v>173</v>
      </c>
      <c r="N10" s="12">
        <v>21770</v>
      </c>
      <c r="O10" s="13">
        <v>200636439</v>
      </c>
      <c r="P10" s="13" t="s">
        <v>73</v>
      </c>
      <c r="Q10" s="16" t="s">
        <v>209</v>
      </c>
      <c r="R10" s="16" t="s">
        <v>210</v>
      </c>
      <c r="S10" s="13">
        <v>641</v>
      </c>
      <c r="T10" s="13" t="s">
        <v>48</v>
      </c>
      <c r="U10" s="13" t="s">
        <v>49</v>
      </c>
      <c r="V10" s="13">
        <v>937548284</v>
      </c>
      <c r="W10" s="13" t="s">
        <v>50</v>
      </c>
      <c r="X10" s="13" t="s">
        <v>51</v>
      </c>
      <c r="Y10" s="13" t="s">
        <v>51</v>
      </c>
      <c r="Z10" s="13" t="s">
        <v>51</v>
      </c>
      <c r="AA10" s="13" t="s">
        <v>51</v>
      </c>
      <c r="AB10" s="13" t="s">
        <v>54</v>
      </c>
      <c r="AC10" s="13" t="s">
        <v>51</v>
      </c>
      <c r="AD10" s="16" t="s">
        <v>51</v>
      </c>
      <c r="AE10" s="13" t="s">
        <v>54</v>
      </c>
      <c r="AF10" s="13" t="s">
        <v>54</v>
      </c>
      <c r="AG10" s="13" t="s">
        <v>54</v>
      </c>
      <c r="AH10" s="13" t="s">
        <v>51</v>
      </c>
      <c r="AI10" s="13" t="s">
        <v>51</v>
      </c>
      <c r="AJ10" s="13" t="s">
        <v>51</v>
      </c>
      <c r="AK10" s="12">
        <v>45105</v>
      </c>
      <c r="AL10" s="13" t="s">
        <v>185</v>
      </c>
      <c r="AM10" s="13" t="s">
        <v>186</v>
      </c>
      <c r="AN10" s="51"/>
      <c r="AO10" s="51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</row>
    <row r="11" spans="1:59" ht="39.75" customHeight="1" x14ac:dyDescent="0.25">
      <c r="A11" s="48">
        <v>9</v>
      </c>
      <c r="B11" s="49" t="s">
        <v>172</v>
      </c>
      <c r="C11" s="12">
        <v>45101</v>
      </c>
      <c r="D11" s="13">
        <f t="shared" si="0"/>
        <v>3</v>
      </c>
      <c r="E11" s="12">
        <v>45104</v>
      </c>
      <c r="F11" s="15" t="s">
        <v>56</v>
      </c>
      <c r="G11" s="15" t="s">
        <v>211</v>
      </c>
      <c r="H11" s="15" t="s">
        <v>211</v>
      </c>
      <c r="I11" s="13" t="s">
        <v>59</v>
      </c>
      <c r="J11" s="13">
        <v>71</v>
      </c>
      <c r="K11" s="13" t="s">
        <v>212</v>
      </c>
      <c r="L11" s="60" t="s">
        <v>51</v>
      </c>
      <c r="M11" s="13" t="s">
        <v>142</v>
      </c>
      <c r="N11" s="12">
        <v>18896</v>
      </c>
      <c r="O11" s="13">
        <v>200747561</v>
      </c>
      <c r="P11" s="13" t="s">
        <v>73</v>
      </c>
      <c r="Q11" s="16" t="s">
        <v>213</v>
      </c>
      <c r="R11" s="16" t="s">
        <v>214</v>
      </c>
      <c r="S11" s="13" t="s">
        <v>64</v>
      </c>
      <c r="T11" s="13" t="s">
        <v>100</v>
      </c>
      <c r="U11" s="13" t="s">
        <v>66</v>
      </c>
      <c r="V11" s="13">
        <v>946696146</v>
      </c>
      <c r="W11" s="13" t="s">
        <v>50</v>
      </c>
      <c r="X11" s="13" t="s">
        <v>51</v>
      </c>
      <c r="Y11" s="13" t="s">
        <v>51</v>
      </c>
      <c r="Z11" s="13" t="s">
        <v>51</v>
      </c>
      <c r="AA11" s="13" t="s">
        <v>51</v>
      </c>
      <c r="AB11" s="13" t="s">
        <v>54</v>
      </c>
      <c r="AC11" s="13" t="s">
        <v>51</v>
      </c>
      <c r="AD11" s="16" t="s">
        <v>51</v>
      </c>
      <c r="AE11" s="13" t="s">
        <v>54</v>
      </c>
      <c r="AF11" s="13" t="s">
        <v>54</v>
      </c>
      <c r="AG11" s="13" t="s">
        <v>54</v>
      </c>
      <c r="AH11" s="13" t="s">
        <v>51</v>
      </c>
      <c r="AI11" s="13" t="s">
        <v>51</v>
      </c>
      <c r="AJ11" s="13" t="s">
        <v>51</v>
      </c>
      <c r="AK11" s="12">
        <v>45104</v>
      </c>
      <c r="AL11" s="13" t="s">
        <v>185</v>
      </c>
      <c r="AM11" s="13" t="s">
        <v>186</v>
      </c>
      <c r="AN11" s="51"/>
      <c r="AO11" s="51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</row>
    <row r="12" spans="1:59" ht="36" customHeight="1" x14ac:dyDescent="0.25">
      <c r="A12" s="48">
        <v>10</v>
      </c>
      <c r="B12" s="49" t="s">
        <v>172</v>
      </c>
      <c r="C12" s="12">
        <v>45102</v>
      </c>
      <c r="D12" s="13">
        <f t="shared" si="0"/>
        <v>9</v>
      </c>
      <c r="E12" s="50">
        <v>45111</v>
      </c>
      <c r="F12" s="15" t="s">
        <v>215</v>
      </c>
      <c r="G12" s="15" t="s">
        <v>155</v>
      </c>
      <c r="H12" s="15" t="s">
        <v>216</v>
      </c>
      <c r="I12" s="13" t="s">
        <v>59</v>
      </c>
      <c r="J12" s="13">
        <v>80</v>
      </c>
      <c r="K12" s="13" t="s">
        <v>217</v>
      </c>
      <c r="L12" s="60" t="s">
        <v>51</v>
      </c>
      <c r="M12" s="13" t="s">
        <v>142</v>
      </c>
      <c r="N12" s="12">
        <v>15536</v>
      </c>
      <c r="O12" s="13">
        <v>2003020864</v>
      </c>
      <c r="P12" s="13" t="s">
        <v>73</v>
      </c>
      <c r="Q12" s="16" t="s">
        <v>90</v>
      </c>
      <c r="R12" s="16" t="s">
        <v>218</v>
      </c>
      <c r="S12" s="13">
        <v>657</v>
      </c>
      <c r="T12" s="13" t="s">
        <v>48</v>
      </c>
      <c r="U12" s="13" t="s">
        <v>49</v>
      </c>
      <c r="V12" s="13">
        <v>967466506</v>
      </c>
      <c r="W12" s="13" t="s">
        <v>50</v>
      </c>
      <c r="X12" s="13" t="s">
        <v>52</v>
      </c>
      <c r="Y12" s="13" t="s">
        <v>51</v>
      </c>
      <c r="Z12" s="13" t="s">
        <v>51</v>
      </c>
      <c r="AA12" s="13" t="s">
        <v>51</v>
      </c>
      <c r="AB12" s="13" t="s">
        <v>76</v>
      </c>
      <c r="AC12" s="13" t="s">
        <v>51</v>
      </c>
      <c r="AD12" s="16" t="s">
        <v>51</v>
      </c>
      <c r="AE12" s="13" t="s">
        <v>54</v>
      </c>
      <c r="AF12" s="13" t="s">
        <v>54</v>
      </c>
      <c r="AG12" s="13" t="s">
        <v>54</v>
      </c>
      <c r="AH12" s="13" t="s">
        <v>108</v>
      </c>
      <c r="AI12" s="13" t="s">
        <v>51</v>
      </c>
      <c r="AJ12" s="13" t="s">
        <v>51</v>
      </c>
      <c r="AK12" s="50">
        <v>45111</v>
      </c>
      <c r="AL12" s="13" t="s">
        <v>185</v>
      </c>
      <c r="AM12" s="13" t="s">
        <v>219</v>
      </c>
      <c r="AN12" s="51"/>
      <c r="AO12" s="51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</row>
    <row r="13" spans="1:59" ht="36.75" customHeight="1" x14ac:dyDescent="0.25">
      <c r="A13" s="48">
        <v>11</v>
      </c>
      <c r="B13" s="49" t="s">
        <v>172</v>
      </c>
      <c r="C13" s="12">
        <v>45102</v>
      </c>
      <c r="D13" s="13">
        <f t="shared" si="0"/>
        <v>3</v>
      </c>
      <c r="E13" s="12">
        <v>45105</v>
      </c>
      <c r="F13" s="15" t="s">
        <v>220</v>
      </c>
      <c r="G13" s="15" t="s">
        <v>221</v>
      </c>
      <c r="H13" s="15" t="s">
        <v>222</v>
      </c>
      <c r="I13" s="13" t="s">
        <v>42</v>
      </c>
      <c r="J13" s="13">
        <v>74</v>
      </c>
      <c r="K13" s="13" t="s">
        <v>223</v>
      </c>
      <c r="L13" s="60" t="s">
        <v>51</v>
      </c>
      <c r="M13" s="13" t="s">
        <v>142</v>
      </c>
      <c r="N13" s="12">
        <v>17939</v>
      </c>
      <c r="O13" s="13">
        <v>99001026</v>
      </c>
      <c r="P13" s="13" t="s">
        <v>89</v>
      </c>
      <c r="Q13" s="16" t="s">
        <v>224</v>
      </c>
      <c r="R13" s="16" t="s">
        <v>225</v>
      </c>
      <c r="S13" s="13" t="s">
        <v>64</v>
      </c>
      <c r="T13" s="13" t="s">
        <v>100</v>
      </c>
      <c r="U13" s="13" t="s">
        <v>66</v>
      </c>
      <c r="V13" s="13">
        <v>971960450</v>
      </c>
      <c r="W13" s="13" t="s">
        <v>50</v>
      </c>
      <c r="X13" s="13" t="s">
        <v>52</v>
      </c>
      <c r="Y13" s="13" t="s">
        <v>51</v>
      </c>
      <c r="Z13" s="13" t="s">
        <v>51</v>
      </c>
      <c r="AA13" s="13" t="s">
        <v>51</v>
      </c>
      <c r="AB13" s="13" t="s">
        <v>76</v>
      </c>
      <c r="AC13" s="13" t="s">
        <v>51</v>
      </c>
      <c r="AD13" s="16" t="s">
        <v>51</v>
      </c>
      <c r="AE13" s="13" t="s">
        <v>54</v>
      </c>
      <c r="AF13" s="13" t="s">
        <v>54</v>
      </c>
      <c r="AG13" s="13" t="s">
        <v>54</v>
      </c>
      <c r="AH13" s="13" t="s">
        <v>51</v>
      </c>
      <c r="AI13" s="13" t="s">
        <v>51</v>
      </c>
      <c r="AJ13" s="13" t="s">
        <v>51</v>
      </c>
      <c r="AK13" s="12">
        <v>45105</v>
      </c>
      <c r="AL13" s="13" t="s">
        <v>185</v>
      </c>
      <c r="AM13" s="13" t="s">
        <v>226</v>
      </c>
      <c r="AN13" s="51"/>
      <c r="AO13" s="51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</row>
    <row r="14" spans="1:59" ht="33" customHeight="1" x14ac:dyDescent="0.25">
      <c r="A14" s="48">
        <v>12</v>
      </c>
      <c r="B14" s="49" t="s">
        <v>172</v>
      </c>
      <c r="C14" s="12">
        <v>45102</v>
      </c>
      <c r="D14" s="13">
        <f t="shared" si="0"/>
        <v>10</v>
      </c>
      <c r="E14" s="50">
        <v>45112</v>
      </c>
      <c r="F14" s="15" t="s">
        <v>227</v>
      </c>
      <c r="G14" s="15" t="s">
        <v>228</v>
      </c>
      <c r="H14" s="15" t="s">
        <v>228</v>
      </c>
      <c r="I14" s="13" t="s">
        <v>42</v>
      </c>
      <c r="J14" s="13">
        <v>86</v>
      </c>
      <c r="K14" s="13" t="s">
        <v>229</v>
      </c>
      <c r="L14" s="60" t="s">
        <v>51</v>
      </c>
      <c r="M14" s="13" t="s">
        <v>142</v>
      </c>
      <c r="N14" s="12">
        <v>13341</v>
      </c>
      <c r="O14" s="13">
        <v>200633847</v>
      </c>
      <c r="P14" s="13" t="s">
        <v>89</v>
      </c>
      <c r="Q14" s="16" t="s">
        <v>230</v>
      </c>
      <c r="R14" s="16" t="s">
        <v>163</v>
      </c>
      <c r="S14" s="13">
        <v>1152</v>
      </c>
      <c r="T14" s="13" t="s">
        <v>48</v>
      </c>
      <c r="U14" s="13" t="s">
        <v>49</v>
      </c>
      <c r="V14" s="13">
        <v>976919544</v>
      </c>
      <c r="W14" s="13" t="s">
        <v>50</v>
      </c>
      <c r="X14" s="13" t="s">
        <v>51</v>
      </c>
      <c r="Y14" s="13" t="s">
        <v>51</v>
      </c>
      <c r="Z14" s="13" t="s">
        <v>51</v>
      </c>
      <c r="AA14" s="13" t="s">
        <v>51</v>
      </c>
      <c r="AB14" s="13" t="s">
        <v>76</v>
      </c>
      <c r="AC14" s="13" t="s">
        <v>51</v>
      </c>
      <c r="AD14" s="16" t="s">
        <v>51</v>
      </c>
      <c r="AE14" s="13" t="s">
        <v>54</v>
      </c>
      <c r="AF14" s="13" t="s">
        <v>54</v>
      </c>
      <c r="AG14" s="13" t="s">
        <v>54</v>
      </c>
      <c r="AH14" s="13" t="s">
        <v>51</v>
      </c>
      <c r="AI14" s="13" t="s">
        <v>54</v>
      </c>
      <c r="AJ14" s="13" t="s">
        <v>51</v>
      </c>
      <c r="AK14" s="50">
        <v>45112</v>
      </c>
      <c r="AL14" s="13" t="s">
        <v>185</v>
      </c>
      <c r="AM14" s="13" t="s">
        <v>231</v>
      </c>
      <c r="AN14" s="51"/>
      <c r="AO14" s="51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</row>
    <row r="15" spans="1:59" ht="36.75" customHeight="1" x14ac:dyDescent="0.25">
      <c r="A15" s="48">
        <v>13</v>
      </c>
      <c r="B15" s="49" t="s">
        <v>172</v>
      </c>
      <c r="C15" s="12">
        <v>45103</v>
      </c>
      <c r="D15" s="13">
        <f t="shared" si="0"/>
        <v>10</v>
      </c>
      <c r="E15" s="50">
        <v>45113</v>
      </c>
      <c r="F15" s="15" t="s">
        <v>232</v>
      </c>
      <c r="G15" s="15" t="s">
        <v>233</v>
      </c>
      <c r="H15" s="15" t="s">
        <v>130</v>
      </c>
      <c r="I15" s="13" t="s">
        <v>42</v>
      </c>
      <c r="J15" s="13">
        <v>94</v>
      </c>
      <c r="K15" s="13" t="s">
        <v>234</v>
      </c>
      <c r="L15" s="60" t="s">
        <v>51</v>
      </c>
      <c r="M15" s="13" t="s">
        <v>142</v>
      </c>
      <c r="N15" s="12">
        <v>10573</v>
      </c>
      <c r="O15" s="13">
        <v>2010061647</v>
      </c>
      <c r="P15" s="13" t="s">
        <v>73</v>
      </c>
      <c r="Q15" s="16" t="s">
        <v>235</v>
      </c>
      <c r="R15" s="16" t="s">
        <v>236</v>
      </c>
      <c r="S15" s="13">
        <v>2</v>
      </c>
      <c r="T15" s="13" t="s">
        <v>48</v>
      </c>
      <c r="U15" s="13" t="s">
        <v>49</v>
      </c>
      <c r="V15" s="13">
        <v>992940203</v>
      </c>
      <c r="W15" s="13" t="s">
        <v>50</v>
      </c>
      <c r="X15" s="13" t="s">
        <v>52</v>
      </c>
      <c r="Y15" s="13" t="s">
        <v>51</v>
      </c>
      <c r="Z15" s="13" t="s">
        <v>51</v>
      </c>
      <c r="AA15" s="13" t="s">
        <v>51</v>
      </c>
      <c r="AB15" s="13" t="s">
        <v>76</v>
      </c>
      <c r="AC15" s="13" t="s">
        <v>51</v>
      </c>
      <c r="AD15" s="16" t="s">
        <v>51</v>
      </c>
      <c r="AE15" s="13" t="s">
        <v>54</v>
      </c>
      <c r="AF15" s="13" t="s">
        <v>54</v>
      </c>
      <c r="AG15" s="13" t="s">
        <v>54</v>
      </c>
      <c r="AH15" s="13" t="s">
        <v>108</v>
      </c>
      <c r="AI15" s="13" t="s">
        <v>51</v>
      </c>
      <c r="AJ15" s="13" t="s">
        <v>51</v>
      </c>
      <c r="AK15" s="50">
        <v>45112</v>
      </c>
      <c r="AL15" s="13" t="s">
        <v>185</v>
      </c>
      <c r="AM15" s="13" t="s">
        <v>237</v>
      </c>
      <c r="AN15" s="51"/>
      <c r="AO15" s="51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</row>
    <row r="16" spans="1:59" ht="40.5" customHeight="1" x14ac:dyDescent="0.25">
      <c r="A16" s="48">
        <v>14</v>
      </c>
      <c r="B16" s="49" t="s">
        <v>172</v>
      </c>
      <c r="C16" s="12">
        <v>45104</v>
      </c>
      <c r="D16" s="13">
        <f t="shared" si="0"/>
        <v>9</v>
      </c>
      <c r="E16" s="12">
        <v>45113</v>
      </c>
      <c r="F16" s="15" t="s">
        <v>238</v>
      </c>
      <c r="G16" s="15" t="s">
        <v>239</v>
      </c>
      <c r="H16" s="15" t="s">
        <v>239</v>
      </c>
      <c r="I16" s="13" t="s">
        <v>59</v>
      </c>
      <c r="J16" s="13">
        <v>52</v>
      </c>
      <c r="K16" s="13" t="s">
        <v>240</v>
      </c>
      <c r="L16" s="60" t="s">
        <v>51</v>
      </c>
      <c r="M16" s="13" t="s">
        <v>177</v>
      </c>
      <c r="N16" s="12">
        <v>26005</v>
      </c>
      <c r="O16" s="13">
        <v>2004024353</v>
      </c>
      <c r="P16" s="13" t="s">
        <v>89</v>
      </c>
      <c r="Q16" s="59" t="s">
        <v>90</v>
      </c>
      <c r="R16" s="59" t="s">
        <v>241</v>
      </c>
      <c r="S16" s="13" t="s">
        <v>64</v>
      </c>
      <c r="T16" s="13" t="s">
        <v>48</v>
      </c>
      <c r="U16" s="13" t="s">
        <v>49</v>
      </c>
      <c r="V16" s="60">
        <v>954103379</v>
      </c>
      <c r="W16" s="13" t="s">
        <v>50</v>
      </c>
      <c r="X16" s="13" t="s">
        <v>51</v>
      </c>
      <c r="Y16" s="13" t="s">
        <v>51</v>
      </c>
      <c r="Z16" s="13" t="s">
        <v>51</v>
      </c>
      <c r="AA16" s="13" t="s">
        <v>51</v>
      </c>
      <c r="AB16" s="13" t="s">
        <v>51</v>
      </c>
      <c r="AC16" s="13" t="s">
        <v>51</v>
      </c>
      <c r="AD16" s="16" t="s">
        <v>51</v>
      </c>
      <c r="AE16" s="13" t="s">
        <v>54</v>
      </c>
      <c r="AF16" s="13" t="s">
        <v>54</v>
      </c>
      <c r="AG16" s="13" t="s">
        <v>54</v>
      </c>
      <c r="AH16" s="13" t="s">
        <v>93</v>
      </c>
      <c r="AI16" s="13" t="s">
        <v>51</v>
      </c>
      <c r="AJ16" s="13" t="s">
        <v>51</v>
      </c>
      <c r="AK16" s="12">
        <v>45113</v>
      </c>
      <c r="AL16" s="13" t="s">
        <v>185</v>
      </c>
      <c r="AM16" s="13" t="s">
        <v>186</v>
      </c>
      <c r="AN16" s="51"/>
      <c r="AO16" s="51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</row>
    <row r="17" spans="1:59" ht="47.25" customHeight="1" x14ac:dyDescent="0.25">
      <c r="A17" s="48">
        <v>15</v>
      </c>
      <c r="B17" s="49" t="s">
        <v>172</v>
      </c>
      <c r="C17" s="12">
        <v>45104</v>
      </c>
      <c r="D17" s="13">
        <v>2</v>
      </c>
      <c r="E17" s="12">
        <v>45106</v>
      </c>
      <c r="F17" s="15" t="s">
        <v>242</v>
      </c>
      <c r="G17" s="15" t="s">
        <v>243</v>
      </c>
      <c r="H17" s="15" t="s">
        <v>243</v>
      </c>
      <c r="I17" s="13" t="s">
        <v>59</v>
      </c>
      <c r="J17" s="13">
        <v>74</v>
      </c>
      <c r="K17" s="13" t="s">
        <v>244</v>
      </c>
      <c r="L17" s="60" t="s">
        <v>51</v>
      </c>
      <c r="M17" s="13" t="s">
        <v>142</v>
      </c>
      <c r="N17" s="12">
        <v>17713</v>
      </c>
      <c r="O17" s="13">
        <v>200635665</v>
      </c>
      <c r="P17" s="13" t="s">
        <v>89</v>
      </c>
      <c r="Q17" s="59" t="s">
        <v>74</v>
      </c>
      <c r="R17" s="59" t="s">
        <v>245</v>
      </c>
      <c r="S17" s="13">
        <v>1215</v>
      </c>
      <c r="T17" s="13" t="s">
        <v>65</v>
      </c>
      <c r="U17" s="13" t="s">
        <v>49</v>
      </c>
      <c r="V17" s="60">
        <v>979963602</v>
      </c>
      <c r="W17" s="13" t="s">
        <v>67</v>
      </c>
      <c r="X17" s="13" t="s">
        <v>51</v>
      </c>
      <c r="Y17" s="13" t="s">
        <v>51</v>
      </c>
      <c r="Z17" s="13" t="s">
        <v>51</v>
      </c>
      <c r="AA17" s="13" t="s">
        <v>51</v>
      </c>
      <c r="AB17" s="13" t="s">
        <v>51</v>
      </c>
      <c r="AC17" s="13" t="s">
        <v>51</v>
      </c>
      <c r="AD17" s="16" t="s">
        <v>51</v>
      </c>
      <c r="AE17" s="13" t="s">
        <v>54</v>
      </c>
      <c r="AF17" s="13" t="s">
        <v>54</v>
      </c>
      <c r="AG17" s="13" t="s">
        <v>54</v>
      </c>
      <c r="AH17" s="13" t="s">
        <v>51</v>
      </c>
      <c r="AI17" s="13" t="s">
        <v>51</v>
      </c>
      <c r="AJ17" s="13" t="s">
        <v>51</v>
      </c>
      <c r="AK17" s="12">
        <v>45106</v>
      </c>
      <c r="AL17" s="13" t="s">
        <v>185</v>
      </c>
      <c r="AM17" s="13" t="s">
        <v>186</v>
      </c>
      <c r="AN17" s="51"/>
      <c r="AO17" s="51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</row>
    <row r="18" spans="1:59" ht="49.5" customHeight="1" x14ac:dyDescent="0.25">
      <c r="A18" s="48">
        <v>16</v>
      </c>
      <c r="B18" s="11" t="s">
        <v>38</v>
      </c>
      <c r="C18" s="12">
        <v>45105</v>
      </c>
      <c r="D18" s="13">
        <f t="shared" ref="D18" ca="1" si="1">DAYS360(C18,TODAY())</f>
        <v>33</v>
      </c>
      <c r="E18" s="13"/>
      <c r="F18" s="15" t="s">
        <v>56</v>
      </c>
      <c r="G18" s="15" t="s">
        <v>57</v>
      </c>
      <c r="H18" s="15" t="s">
        <v>58</v>
      </c>
      <c r="I18" s="13" t="s">
        <v>59</v>
      </c>
      <c r="J18" s="13">
        <v>81</v>
      </c>
      <c r="K18" s="61" t="s">
        <v>60</v>
      </c>
      <c r="L18" s="60" t="s">
        <v>81</v>
      </c>
      <c r="M18" s="13" t="s">
        <v>142</v>
      </c>
      <c r="N18" s="12">
        <v>15463</v>
      </c>
      <c r="O18" s="13">
        <v>2010063996</v>
      </c>
      <c r="P18" s="13" t="s">
        <v>61</v>
      </c>
      <c r="Q18" s="22" t="s">
        <v>62</v>
      </c>
      <c r="R18" s="22" t="s">
        <v>63</v>
      </c>
      <c r="S18" s="13" t="s">
        <v>64</v>
      </c>
      <c r="T18" s="13" t="s">
        <v>65</v>
      </c>
      <c r="U18" s="13" t="s">
        <v>66</v>
      </c>
      <c r="V18" s="60">
        <v>967494119</v>
      </c>
      <c r="W18" s="13" t="s">
        <v>67</v>
      </c>
      <c r="X18" s="13" t="s">
        <v>51</v>
      </c>
      <c r="Y18" s="13" t="s">
        <v>51</v>
      </c>
      <c r="Z18" s="13" t="s">
        <v>51</v>
      </c>
      <c r="AA18" s="13" t="s">
        <v>51</v>
      </c>
      <c r="AB18" s="13" t="s">
        <v>51</v>
      </c>
      <c r="AC18" s="13" t="s">
        <v>51</v>
      </c>
      <c r="AD18" s="16" t="s">
        <v>51</v>
      </c>
      <c r="AE18" s="13" t="s">
        <v>54</v>
      </c>
      <c r="AF18" s="13" t="s">
        <v>54</v>
      </c>
      <c r="AG18" s="13" t="s">
        <v>54</v>
      </c>
      <c r="AH18" s="13" t="s">
        <v>51</v>
      </c>
      <c r="AI18" s="13" t="s">
        <v>54</v>
      </c>
      <c r="AJ18" s="13" t="s">
        <v>51</v>
      </c>
      <c r="AK18" s="17"/>
      <c r="AL18" s="17"/>
      <c r="AM18" s="17"/>
      <c r="AN18" s="18"/>
      <c r="AO18" s="18"/>
    </row>
    <row r="19" spans="1:59" ht="39" customHeight="1" x14ac:dyDescent="0.25">
      <c r="A19" s="48">
        <v>17</v>
      </c>
      <c r="B19" s="49" t="s">
        <v>172</v>
      </c>
      <c r="C19" s="12">
        <v>45106</v>
      </c>
      <c r="D19" s="13">
        <f>DAYS360(C19,E19)</f>
        <v>18</v>
      </c>
      <c r="E19" s="12">
        <v>45124</v>
      </c>
      <c r="F19" s="15" t="s">
        <v>246</v>
      </c>
      <c r="G19" s="15" t="s">
        <v>247</v>
      </c>
      <c r="H19" s="15" t="s">
        <v>248</v>
      </c>
      <c r="I19" s="13" t="s">
        <v>59</v>
      </c>
      <c r="J19" s="13">
        <v>65</v>
      </c>
      <c r="K19" s="20" t="s">
        <v>249</v>
      </c>
      <c r="L19" s="60" t="s">
        <v>51</v>
      </c>
      <c r="M19" s="13" t="s">
        <v>173</v>
      </c>
      <c r="N19" s="12">
        <v>21183</v>
      </c>
      <c r="O19" s="13">
        <v>2011067193</v>
      </c>
      <c r="P19" s="13" t="s">
        <v>73</v>
      </c>
      <c r="Q19" s="16" t="s">
        <v>74</v>
      </c>
      <c r="R19" s="16" t="s">
        <v>250</v>
      </c>
      <c r="S19" s="13" t="s">
        <v>64</v>
      </c>
      <c r="T19" s="13" t="s">
        <v>100</v>
      </c>
      <c r="U19" s="13" t="s">
        <v>66</v>
      </c>
      <c r="V19" s="13">
        <v>979622327</v>
      </c>
      <c r="W19" s="13" t="s">
        <v>67</v>
      </c>
      <c r="X19" s="13" t="s">
        <v>52</v>
      </c>
      <c r="Y19" s="13" t="s">
        <v>51</v>
      </c>
      <c r="Z19" s="13" t="s">
        <v>51</v>
      </c>
      <c r="AA19" s="13" t="s">
        <v>51</v>
      </c>
      <c r="AB19" s="13" t="s">
        <v>51</v>
      </c>
      <c r="AC19" s="13" t="s">
        <v>51</v>
      </c>
      <c r="AD19" s="16" t="s">
        <v>51</v>
      </c>
      <c r="AE19" s="13" t="s">
        <v>54</v>
      </c>
      <c r="AF19" s="13" t="s">
        <v>54</v>
      </c>
      <c r="AG19" s="13" t="s">
        <v>54</v>
      </c>
      <c r="AH19" s="13" t="s">
        <v>51</v>
      </c>
      <c r="AI19" s="13" t="s">
        <v>51</v>
      </c>
      <c r="AJ19" s="13" t="s">
        <v>51</v>
      </c>
      <c r="AK19" s="25">
        <v>45119</v>
      </c>
      <c r="AL19" s="17" t="s">
        <v>185</v>
      </c>
      <c r="AM19" s="13" t="s">
        <v>186</v>
      </c>
      <c r="AN19" s="18"/>
      <c r="AO19" s="18"/>
    </row>
    <row r="20" spans="1:59" ht="36.75" customHeight="1" x14ac:dyDescent="0.25">
      <c r="A20" s="48">
        <v>18</v>
      </c>
      <c r="B20" s="49" t="s">
        <v>172</v>
      </c>
      <c r="C20" s="12">
        <v>45106</v>
      </c>
      <c r="D20" s="13">
        <f t="shared" ref="D20:D24" si="2">DAYS360(C20,E20)</f>
        <v>7</v>
      </c>
      <c r="E20" s="50">
        <v>45113</v>
      </c>
      <c r="F20" s="15" t="s">
        <v>251</v>
      </c>
      <c r="G20" s="15" t="s">
        <v>252</v>
      </c>
      <c r="H20" s="15" t="s">
        <v>196</v>
      </c>
      <c r="I20" s="13" t="s">
        <v>42</v>
      </c>
      <c r="J20" s="13">
        <v>71</v>
      </c>
      <c r="K20" s="20" t="s">
        <v>253</v>
      </c>
      <c r="L20" s="60" t="s">
        <v>51</v>
      </c>
      <c r="M20" s="13" t="s">
        <v>142</v>
      </c>
      <c r="N20" s="12">
        <v>18995</v>
      </c>
      <c r="O20" s="13">
        <v>99003300</v>
      </c>
      <c r="P20" s="13" t="s">
        <v>73</v>
      </c>
      <c r="Q20" s="16" t="s">
        <v>90</v>
      </c>
      <c r="R20" s="16" t="s">
        <v>254</v>
      </c>
      <c r="S20" s="13">
        <v>1060</v>
      </c>
      <c r="T20" s="13" t="s">
        <v>48</v>
      </c>
      <c r="U20" s="13" t="s">
        <v>49</v>
      </c>
      <c r="V20" s="13">
        <v>920146528</v>
      </c>
      <c r="W20" s="13" t="s">
        <v>50</v>
      </c>
      <c r="X20" s="13" t="s">
        <v>52</v>
      </c>
      <c r="Y20" s="13" t="s">
        <v>51</v>
      </c>
      <c r="Z20" s="13" t="s">
        <v>51</v>
      </c>
      <c r="AA20" s="13" t="s">
        <v>51</v>
      </c>
      <c r="AB20" s="13" t="s">
        <v>51</v>
      </c>
      <c r="AC20" s="13" t="s">
        <v>51</v>
      </c>
      <c r="AD20" s="16" t="s">
        <v>107</v>
      </c>
      <c r="AE20" s="13" t="s">
        <v>54</v>
      </c>
      <c r="AF20" s="13" t="s">
        <v>54</v>
      </c>
      <c r="AG20" s="13" t="s">
        <v>54</v>
      </c>
      <c r="AH20" s="13" t="s">
        <v>108</v>
      </c>
      <c r="AI20" s="13" t="s">
        <v>51</v>
      </c>
      <c r="AJ20" s="13" t="s">
        <v>51</v>
      </c>
      <c r="AK20" s="50">
        <v>45113</v>
      </c>
      <c r="AL20" s="13" t="s">
        <v>185</v>
      </c>
      <c r="AM20" s="13" t="s">
        <v>255</v>
      </c>
      <c r="AN20" s="51"/>
      <c r="AO20" s="51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</row>
    <row r="21" spans="1:59" ht="31.5" customHeight="1" x14ac:dyDescent="0.25">
      <c r="A21" s="48">
        <v>19</v>
      </c>
      <c r="B21" s="49" t="s">
        <v>172</v>
      </c>
      <c r="C21" s="24">
        <v>45107</v>
      </c>
      <c r="D21" s="13">
        <f t="shared" si="2"/>
        <v>10</v>
      </c>
      <c r="E21" s="12">
        <v>45117</v>
      </c>
      <c r="F21" s="15" t="s">
        <v>256</v>
      </c>
      <c r="G21" s="15" t="s">
        <v>207</v>
      </c>
      <c r="H21" s="15" t="s">
        <v>257</v>
      </c>
      <c r="I21" s="13" t="s">
        <v>42</v>
      </c>
      <c r="J21" s="13">
        <v>75</v>
      </c>
      <c r="K21" s="20" t="s">
        <v>258</v>
      </c>
      <c r="L21" s="60" t="s">
        <v>51</v>
      </c>
      <c r="M21" s="13" t="s">
        <v>142</v>
      </c>
      <c r="N21" s="12">
        <v>17691</v>
      </c>
      <c r="O21" s="13">
        <v>2002014679</v>
      </c>
      <c r="P21" s="13" t="s">
        <v>259</v>
      </c>
      <c r="Q21" s="16" t="s">
        <v>260</v>
      </c>
      <c r="R21" s="16" t="s">
        <v>261</v>
      </c>
      <c r="S21" s="13" t="s">
        <v>262</v>
      </c>
      <c r="T21" s="13" t="s">
        <v>65</v>
      </c>
      <c r="U21" s="13" t="s">
        <v>66</v>
      </c>
      <c r="V21" s="13">
        <v>987857704</v>
      </c>
      <c r="W21" s="13" t="s">
        <v>50</v>
      </c>
      <c r="X21" s="13" t="s">
        <v>51</v>
      </c>
      <c r="Y21" s="13" t="s">
        <v>51</v>
      </c>
      <c r="Z21" s="13" t="s">
        <v>51</v>
      </c>
      <c r="AA21" s="13" t="s">
        <v>51</v>
      </c>
      <c r="AB21" s="13" t="s">
        <v>51</v>
      </c>
      <c r="AC21" s="13" t="s">
        <v>51</v>
      </c>
      <c r="AD21" s="16" t="s">
        <v>51</v>
      </c>
      <c r="AE21" s="13" t="s">
        <v>54</v>
      </c>
      <c r="AF21" s="13" t="s">
        <v>54</v>
      </c>
      <c r="AG21" s="13" t="s">
        <v>54</v>
      </c>
      <c r="AH21" s="13" t="s">
        <v>108</v>
      </c>
      <c r="AI21" s="13" t="s">
        <v>76</v>
      </c>
      <c r="AJ21" s="13" t="s">
        <v>51</v>
      </c>
      <c r="AK21" s="12">
        <v>45117</v>
      </c>
      <c r="AL21" s="13" t="s">
        <v>185</v>
      </c>
      <c r="AM21" s="13" t="s">
        <v>255</v>
      </c>
      <c r="AN21" s="51"/>
      <c r="AO21" s="51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</row>
    <row r="22" spans="1:59" ht="35.25" customHeight="1" x14ac:dyDescent="0.25">
      <c r="A22" s="48">
        <v>20</v>
      </c>
      <c r="B22" s="49" t="s">
        <v>172</v>
      </c>
      <c r="C22" s="24">
        <v>45107</v>
      </c>
      <c r="D22" s="13">
        <f t="shared" si="2"/>
        <v>6</v>
      </c>
      <c r="E22" s="12">
        <v>45113</v>
      </c>
      <c r="F22" s="15" t="s">
        <v>263</v>
      </c>
      <c r="G22" s="15" t="s">
        <v>264</v>
      </c>
      <c r="H22" s="15" t="s">
        <v>257</v>
      </c>
      <c r="I22" s="13" t="s">
        <v>59</v>
      </c>
      <c r="J22" s="13">
        <v>19</v>
      </c>
      <c r="K22" s="20" t="s">
        <v>265</v>
      </c>
      <c r="L22" s="60" t="s">
        <v>51</v>
      </c>
      <c r="M22" s="13" t="s">
        <v>173</v>
      </c>
      <c r="N22" s="12">
        <v>38129</v>
      </c>
      <c r="O22" s="13">
        <v>2004024596</v>
      </c>
      <c r="P22" s="13" t="s">
        <v>89</v>
      </c>
      <c r="Q22" s="16" t="s">
        <v>266</v>
      </c>
      <c r="R22" s="16" t="s">
        <v>267</v>
      </c>
      <c r="S22" s="13">
        <v>820</v>
      </c>
      <c r="T22" s="13" t="s">
        <v>48</v>
      </c>
      <c r="U22" s="13" t="s">
        <v>49</v>
      </c>
      <c r="V22" s="13">
        <v>962144340</v>
      </c>
      <c r="W22" s="13" t="s">
        <v>67</v>
      </c>
      <c r="X22" s="13" t="s">
        <v>51</v>
      </c>
      <c r="Y22" s="13" t="s">
        <v>92</v>
      </c>
      <c r="Z22" s="13" t="s">
        <v>51</v>
      </c>
      <c r="AA22" s="13" t="s">
        <v>51</v>
      </c>
      <c r="AB22" s="13" t="s">
        <v>51</v>
      </c>
      <c r="AC22" s="13" t="s">
        <v>76</v>
      </c>
      <c r="AD22" s="16" t="s">
        <v>51</v>
      </c>
      <c r="AE22" s="13" t="s">
        <v>54</v>
      </c>
      <c r="AF22" s="13" t="s">
        <v>54</v>
      </c>
      <c r="AG22" s="13" t="s">
        <v>54</v>
      </c>
      <c r="AH22" s="13" t="s">
        <v>108</v>
      </c>
      <c r="AI22" s="13" t="s">
        <v>76</v>
      </c>
      <c r="AJ22" s="13" t="s">
        <v>51</v>
      </c>
      <c r="AK22" s="12">
        <v>45113</v>
      </c>
      <c r="AL22" s="13" t="s">
        <v>185</v>
      </c>
      <c r="AM22" s="13" t="s">
        <v>255</v>
      </c>
      <c r="AN22" s="51"/>
      <c r="AO22" s="51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</row>
    <row r="23" spans="1:59" ht="36" customHeight="1" x14ac:dyDescent="0.25">
      <c r="A23" s="48">
        <v>21</v>
      </c>
      <c r="B23" s="49" t="s">
        <v>172</v>
      </c>
      <c r="C23" s="24">
        <v>45107</v>
      </c>
      <c r="D23" s="13">
        <f t="shared" si="2"/>
        <v>10</v>
      </c>
      <c r="E23" s="12">
        <v>45117</v>
      </c>
      <c r="F23" s="15" t="s">
        <v>268</v>
      </c>
      <c r="G23" s="15" t="s">
        <v>239</v>
      </c>
      <c r="H23" s="15" t="s">
        <v>269</v>
      </c>
      <c r="I23" s="13" t="s">
        <v>59</v>
      </c>
      <c r="J23" s="13">
        <v>61</v>
      </c>
      <c r="K23" s="20" t="s">
        <v>270</v>
      </c>
      <c r="L23" s="60" t="s">
        <v>51</v>
      </c>
      <c r="M23" s="13" t="s">
        <v>271</v>
      </c>
      <c r="N23" s="12">
        <v>22826</v>
      </c>
      <c r="O23" s="13">
        <v>2012073612</v>
      </c>
      <c r="P23" s="13" t="s">
        <v>89</v>
      </c>
      <c r="Q23" s="16" t="s">
        <v>272</v>
      </c>
      <c r="R23" s="16" t="s">
        <v>273</v>
      </c>
      <c r="S23" s="13" t="s">
        <v>274</v>
      </c>
      <c r="T23" s="13" t="s">
        <v>65</v>
      </c>
      <c r="U23" s="13" t="s">
        <v>66</v>
      </c>
      <c r="V23" s="13">
        <v>978829334</v>
      </c>
      <c r="W23" s="13" t="s">
        <v>67</v>
      </c>
      <c r="X23" s="13" t="s">
        <v>51</v>
      </c>
      <c r="Y23" s="13" t="s">
        <v>92</v>
      </c>
      <c r="Z23" s="13" t="s">
        <v>51</v>
      </c>
      <c r="AA23" s="13" t="s">
        <v>51</v>
      </c>
      <c r="AB23" s="13" t="s">
        <v>51</v>
      </c>
      <c r="AC23" s="13" t="s">
        <v>76</v>
      </c>
      <c r="AD23" s="16" t="s">
        <v>51</v>
      </c>
      <c r="AE23" s="13" t="s">
        <v>54</v>
      </c>
      <c r="AF23" s="13" t="s">
        <v>54</v>
      </c>
      <c r="AG23" s="13" t="s">
        <v>54</v>
      </c>
      <c r="AH23" s="13" t="s">
        <v>108</v>
      </c>
      <c r="AI23" s="13" t="s">
        <v>51</v>
      </c>
      <c r="AJ23" s="13" t="s">
        <v>51</v>
      </c>
      <c r="AK23" s="12">
        <v>45117</v>
      </c>
      <c r="AL23" s="13" t="s">
        <v>275</v>
      </c>
      <c r="AM23" s="13" t="s">
        <v>276</v>
      </c>
      <c r="AN23" s="51"/>
      <c r="AO23" s="51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</row>
    <row r="24" spans="1:59" ht="33.75" customHeight="1" x14ac:dyDescent="0.25">
      <c r="A24" s="48">
        <v>22</v>
      </c>
      <c r="B24" s="49" t="s">
        <v>172</v>
      </c>
      <c r="C24" s="24">
        <v>45108</v>
      </c>
      <c r="D24" s="13">
        <f t="shared" si="2"/>
        <v>11</v>
      </c>
      <c r="E24" s="12">
        <v>45119</v>
      </c>
      <c r="F24" s="15" t="s">
        <v>277</v>
      </c>
      <c r="G24" s="15" t="s">
        <v>278</v>
      </c>
      <c r="H24" s="15" t="s">
        <v>279</v>
      </c>
      <c r="I24" s="13" t="s">
        <v>42</v>
      </c>
      <c r="J24" s="13">
        <v>51</v>
      </c>
      <c r="K24" s="20" t="s">
        <v>280</v>
      </c>
      <c r="L24" s="60" t="s">
        <v>51</v>
      </c>
      <c r="M24" s="13" t="s">
        <v>173</v>
      </c>
      <c r="N24" s="12">
        <v>26210</v>
      </c>
      <c r="O24" s="13">
        <v>20170107949</v>
      </c>
      <c r="P24" s="13" t="s">
        <v>61</v>
      </c>
      <c r="Q24" s="16" t="s">
        <v>281</v>
      </c>
      <c r="R24" s="16" t="s">
        <v>282</v>
      </c>
      <c r="S24" s="13">
        <v>658</v>
      </c>
      <c r="T24" s="13" t="s">
        <v>65</v>
      </c>
      <c r="U24" s="13" t="s">
        <v>49</v>
      </c>
      <c r="V24" s="13">
        <v>965905128</v>
      </c>
      <c r="W24" s="13" t="s">
        <v>67</v>
      </c>
      <c r="X24" s="13" t="s">
        <v>51</v>
      </c>
      <c r="Y24" s="13" t="s">
        <v>51</v>
      </c>
      <c r="Z24" s="13" t="s">
        <v>51</v>
      </c>
      <c r="AA24" s="13" t="s">
        <v>114</v>
      </c>
      <c r="AB24" s="13" t="s">
        <v>51</v>
      </c>
      <c r="AC24" s="13" t="s">
        <v>76</v>
      </c>
      <c r="AD24" s="16" t="s">
        <v>178</v>
      </c>
      <c r="AE24" s="13" t="s">
        <v>54</v>
      </c>
      <c r="AF24" s="13" t="s">
        <v>54</v>
      </c>
      <c r="AG24" s="13" t="s">
        <v>54</v>
      </c>
      <c r="AH24" s="13" t="s">
        <v>51</v>
      </c>
      <c r="AI24" s="13" t="s">
        <v>54</v>
      </c>
      <c r="AJ24" s="13" t="s">
        <v>51</v>
      </c>
      <c r="AK24" s="25">
        <v>45119</v>
      </c>
      <c r="AL24" s="17" t="s">
        <v>185</v>
      </c>
      <c r="AM24" s="17" t="s">
        <v>255</v>
      </c>
      <c r="AN24" s="18"/>
      <c r="AO24" s="18"/>
    </row>
    <row r="25" spans="1:59" ht="40.5" customHeight="1" x14ac:dyDescent="0.25">
      <c r="A25" s="48">
        <v>23</v>
      </c>
      <c r="B25" s="49" t="s">
        <v>172</v>
      </c>
      <c r="C25" s="24">
        <v>45108</v>
      </c>
      <c r="D25" s="13">
        <v>26</v>
      </c>
      <c r="E25" s="91">
        <v>45134</v>
      </c>
      <c r="F25" s="15" t="s">
        <v>68</v>
      </c>
      <c r="G25" s="15" t="s">
        <v>69</v>
      </c>
      <c r="H25" s="15" t="s">
        <v>70</v>
      </c>
      <c r="I25" s="13" t="s">
        <v>59</v>
      </c>
      <c r="J25" s="13">
        <v>72</v>
      </c>
      <c r="K25" s="20" t="s">
        <v>71</v>
      </c>
      <c r="L25" s="60" t="s">
        <v>72</v>
      </c>
      <c r="M25" s="13" t="s">
        <v>142</v>
      </c>
      <c r="N25" s="12">
        <v>18543</v>
      </c>
      <c r="O25" s="13">
        <v>202300150177</v>
      </c>
      <c r="P25" s="13" t="s">
        <v>73</v>
      </c>
      <c r="Q25" s="16" t="s">
        <v>74</v>
      </c>
      <c r="R25" s="16" t="s">
        <v>75</v>
      </c>
      <c r="S25" s="13" t="s">
        <v>64</v>
      </c>
      <c r="T25" s="13" t="s">
        <v>48</v>
      </c>
      <c r="U25" s="13" t="s">
        <v>66</v>
      </c>
      <c r="V25" s="13">
        <v>988560417</v>
      </c>
      <c r="W25" s="13" t="s">
        <v>67</v>
      </c>
      <c r="X25" s="13" t="s">
        <v>52</v>
      </c>
      <c r="Y25" s="13" t="s">
        <v>51</v>
      </c>
      <c r="Z25" s="13" t="s">
        <v>51</v>
      </c>
      <c r="AA25" s="13" t="s">
        <v>51</v>
      </c>
      <c r="AB25" s="13" t="s">
        <v>51</v>
      </c>
      <c r="AC25" s="13" t="s">
        <v>76</v>
      </c>
      <c r="AD25" s="16" t="s">
        <v>51</v>
      </c>
      <c r="AE25" s="13" t="s">
        <v>54</v>
      </c>
      <c r="AF25" s="13" t="s">
        <v>54</v>
      </c>
      <c r="AG25" s="13" t="s">
        <v>76</v>
      </c>
      <c r="AH25" s="13" t="s">
        <v>51</v>
      </c>
      <c r="AI25" s="13" t="s">
        <v>51</v>
      </c>
      <c r="AJ25" s="13" t="s">
        <v>51</v>
      </c>
      <c r="AK25" s="89">
        <v>45134</v>
      </c>
      <c r="AL25" s="17" t="s">
        <v>185</v>
      </c>
      <c r="AM25" s="17" t="s">
        <v>255</v>
      </c>
      <c r="AN25" s="18"/>
      <c r="AO25" s="18"/>
    </row>
    <row r="26" spans="1:59" ht="31.5" customHeight="1" x14ac:dyDescent="0.25">
      <c r="A26" s="48">
        <v>24</v>
      </c>
      <c r="B26" s="49" t="s">
        <v>172</v>
      </c>
      <c r="C26" s="12">
        <v>45108</v>
      </c>
      <c r="D26" s="13">
        <f>DAYS360(C26,E26)</f>
        <v>11</v>
      </c>
      <c r="E26" s="12">
        <v>45119</v>
      </c>
      <c r="F26" s="15" t="s">
        <v>283</v>
      </c>
      <c r="G26" s="15" t="s">
        <v>284</v>
      </c>
      <c r="H26" s="15" t="s">
        <v>285</v>
      </c>
      <c r="I26" s="13" t="s">
        <v>59</v>
      </c>
      <c r="J26" s="13">
        <v>74</v>
      </c>
      <c r="K26" s="20" t="s">
        <v>286</v>
      </c>
      <c r="L26" s="60" t="s">
        <v>72</v>
      </c>
      <c r="M26" s="13" t="s">
        <v>142</v>
      </c>
      <c r="N26" s="12">
        <v>17992</v>
      </c>
      <c r="O26" s="13">
        <v>202300153144</v>
      </c>
      <c r="P26" s="13" t="s">
        <v>89</v>
      </c>
      <c r="Q26" s="16" t="s">
        <v>287</v>
      </c>
      <c r="R26" s="16" t="s">
        <v>288</v>
      </c>
      <c r="S26" s="13" t="s">
        <v>64</v>
      </c>
      <c r="T26" s="13" t="s">
        <v>65</v>
      </c>
      <c r="U26" s="13" t="s">
        <v>66</v>
      </c>
      <c r="V26" s="13">
        <v>965494771</v>
      </c>
      <c r="W26" s="13" t="s">
        <v>50</v>
      </c>
      <c r="X26" s="13" t="s">
        <v>51</v>
      </c>
      <c r="Y26" s="13" t="s">
        <v>51</v>
      </c>
      <c r="Z26" s="13" t="s">
        <v>51</v>
      </c>
      <c r="AA26" s="13" t="s">
        <v>51</v>
      </c>
      <c r="AB26" s="13" t="s">
        <v>51</v>
      </c>
      <c r="AC26" s="13" t="s">
        <v>51</v>
      </c>
      <c r="AD26" s="16" t="s">
        <v>51</v>
      </c>
      <c r="AE26" s="13" t="s">
        <v>54</v>
      </c>
      <c r="AF26" s="13" t="s">
        <v>54</v>
      </c>
      <c r="AG26" s="13" t="s">
        <v>54</v>
      </c>
      <c r="AH26" s="13" t="s">
        <v>55</v>
      </c>
      <c r="AI26" s="13" t="s">
        <v>54</v>
      </c>
      <c r="AJ26" s="13" t="s">
        <v>51</v>
      </c>
      <c r="AK26" s="25">
        <v>45119</v>
      </c>
      <c r="AL26" s="17" t="s">
        <v>185</v>
      </c>
      <c r="AM26" s="17" t="s">
        <v>289</v>
      </c>
      <c r="AN26" s="18"/>
      <c r="AO26" s="18"/>
    </row>
    <row r="27" spans="1:59" ht="30.75" customHeight="1" x14ac:dyDescent="0.25">
      <c r="A27" s="48">
        <v>25</v>
      </c>
      <c r="B27" s="49" t="s">
        <v>172</v>
      </c>
      <c r="C27" s="12">
        <v>45109</v>
      </c>
      <c r="D27" s="13">
        <f t="shared" ref="D27:D30" si="3">DAYS360(C27,E27)</f>
        <v>4</v>
      </c>
      <c r="E27" s="50">
        <v>45113</v>
      </c>
      <c r="F27" s="15" t="s">
        <v>290</v>
      </c>
      <c r="G27" s="15" t="s">
        <v>291</v>
      </c>
      <c r="H27" s="15" t="s">
        <v>116</v>
      </c>
      <c r="I27" s="13" t="s">
        <v>59</v>
      </c>
      <c r="J27" s="13">
        <v>68</v>
      </c>
      <c r="K27" s="20" t="s">
        <v>292</v>
      </c>
      <c r="L27" s="60" t="s">
        <v>293</v>
      </c>
      <c r="M27" s="13" t="s">
        <v>177</v>
      </c>
      <c r="N27" s="12">
        <v>20048</v>
      </c>
      <c r="O27" s="13">
        <v>200636307</v>
      </c>
      <c r="P27" s="13" t="s">
        <v>73</v>
      </c>
      <c r="Q27" s="16" t="s">
        <v>294</v>
      </c>
      <c r="R27" s="16" t="s">
        <v>295</v>
      </c>
      <c r="S27" s="13">
        <v>849</v>
      </c>
      <c r="T27" s="13" t="s">
        <v>48</v>
      </c>
      <c r="U27" s="13" t="s">
        <v>49</v>
      </c>
      <c r="V27" s="13">
        <v>993261571</v>
      </c>
      <c r="W27" s="13" t="s">
        <v>67</v>
      </c>
      <c r="X27" s="13" t="s">
        <v>52</v>
      </c>
      <c r="Y27" s="13" t="s">
        <v>51</v>
      </c>
      <c r="Z27" s="13" t="s">
        <v>51</v>
      </c>
      <c r="AA27" s="13" t="s">
        <v>51</v>
      </c>
      <c r="AB27" s="13" t="s">
        <v>54</v>
      </c>
      <c r="AC27" s="13" t="s">
        <v>76</v>
      </c>
      <c r="AD27" s="16" t="s">
        <v>51</v>
      </c>
      <c r="AE27" s="13" t="s">
        <v>54</v>
      </c>
      <c r="AF27" s="13" t="s">
        <v>54</v>
      </c>
      <c r="AG27" s="13" t="s">
        <v>54</v>
      </c>
      <c r="AH27" s="13" t="s">
        <v>51</v>
      </c>
      <c r="AI27" s="13" t="s">
        <v>76</v>
      </c>
      <c r="AJ27" s="13" t="s">
        <v>51</v>
      </c>
      <c r="AK27" s="50">
        <v>45113</v>
      </c>
      <c r="AL27" s="13" t="s">
        <v>185</v>
      </c>
      <c r="AM27" s="13" t="s">
        <v>186</v>
      </c>
      <c r="AN27" s="51"/>
      <c r="AO27" s="51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</row>
    <row r="28" spans="1:59" ht="33.75" customHeight="1" x14ac:dyDescent="0.25">
      <c r="A28" s="48">
        <v>26</v>
      </c>
      <c r="B28" s="49" t="s">
        <v>172</v>
      </c>
      <c r="C28" s="12">
        <v>45110</v>
      </c>
      <c r="D28" s="13">
        <f t="shared" si="3"/>
        <v>7</v>
      </c>
      <c r="E28" s="50">
        <v>45117</v>
      </c>
      <c r="F28" s="15" t="s">
        <v>296</v>
      </c>
      <c r="G28" s="15" t="s">
        <v>79</v>
      </c>
      <c r="H28" s="15" t="s">
        <v>297</v>
      </c>
      <c r="I28" s="13" t="s">
        <v>42</v>
      </c>
      <c r="J28" s="13">
        <v>83</v>
      </c>
      <c r="K28" s="20" t="s">
        <v>298</v>
      </c>
      <c r="L28" s="60" t="s">
        <v>361</v>
      </c>
      <c r="M28" s="13" t="s">
        <v>142</v>
      </c>
      <c r="N28" s="12">
        <v>14631</v>
      </c>
      <c r="O28" s="13">
        <v>200633782</v>
      </c>
      <c r="P28" s="13" t="s">
        <v>89</v>
      </c>
      <c r="Q28" s="16" t="s">
        <v>90</v>
      </c>
      <c r="R28" s="16" t="s">
        <v>299</v>
      </c>
      <c r="S28" s="13" t="s">
        <v>64</v>
      </c>
      <c r="T28" s="13" t="s">
        <v>48</v>
      </c>
      <c r="U28" s="13" t="s">
        <v>66</v>
      </c>
      <c r="V28" s="13">
        <v>987071270</v>
      </c>
      <c r="W28" s="13" t="s">
        <v>300</v>
      </c>
      <c r="X28" s="13" t="s">
        <v>52</v>
      </c>
      <c r="Y28" s="13" t="s">
        <v>51</v>
      </c>
      <c r="Z28" s="13" t="s">
        <v>51</v>
      </c>
      <c r="AA28" s="13" t="s">
        <v>51</v>
      </c>
      <c r="AB28" s="13" t="s">
        <v>51</v>
      </c>
      <c r="AC28" s="13" t="s">
        <v>76</v>
      </c>
      <c r="AD28" s="16" t="s">
        <v>107</v>
      </c>
      <c r="AE28" s="13" t="s">
        <v>54</v>
      </c>
      <c r="AF28" s="13" t="s">
        <v>54</v>
      </c>
      <c r="AG28" s="13" t="s">
        <v>54</v>
      </c>
      <c r="AH28" s="13" t="s">
        <v>51</v>
      </c>
      <c r="AI28" s="13" t="s">
        <v>51</v>
      </c>
      <c r="AJ28" s="13" t="s">
        <v>76</v>
      </c>
      <c r="AK28" s="50">
        <v>45117</v>
      </c>
      <c r="AL28" s="13" t="s">
        <v>185</v>
      </c>
      <c r="AM28" s="13" t="s">
        <v>186</v>
      </c>
      <c r="AN28" s="51"/>
      <c r="AO28" s="51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</row>
    <row r="29" spans="1:59" ht="37.5" customHeight="1" x14ac:dyDescent="0.25">
      <c r="A29" s="48">
        <v>27</v>
      </c>
      <c r="B29" s="49" t="s">
        <v>172</v>
      </c>
      <c r="C29" s="25">
        <v>45110</v>
      </c>
      <c r="D29" s="13">
        <f t="shared" si="3"/>
        <v>8</v>
      </c>
      <c r="E29" s="25">
        <v>45118</v>
      </c>
      <c r="F29" s="27" t="s">
        <v>301</v>
      </c>
      <c r="G29" s="27" t="s">
        <v>252</v>
      </c>
      <c r="H29" s="27" t="s">
        <v>302</v>
      </c>
      <c r="I29" s="17" t="s">
        <v>42</v>
      </c>
      <c r="J29" s="17">
        <v>60</v>
      </c>
      <c r="K29" s="38" t="s">
        <v>303</v>
      </c>
      <c r="L29" s="60" t="s">
        <v>51</v>
      </c>
      <c r="M29" s="13" t="s">
        <v>173</v>
      </c>
      <c r="N29" s="25">
        <v>22956</v>
      </c>
      <c r="O29" s="17">
        <v>200744135</v>
      </c>
      <c r="P29" s="17" t="s">
        <v>73</v>
      </c>
      <c r="Q29" s="29" t="s">
        <v>304</v>
      </c>
      <c r="R29" s="29" t="s">
        <v>305</v>
      </c>
      <c r="S29" s="17" t="s">
        <v>64</v>
      </c>
      <c r="T29" s="17" t="s">
        <v>48</v>
      </c>
      <c r="U29" s="13" t="s">
        <v>66</v>
      </c>
      <c r="V29" s="17">
        <v>933914232</v>
      </c>
      <c r="W29" s="17" t="s">
        <v>300</v>
      </c>
      <c r="X29" s="17" t="s">
        <v>52</v>
      </c>
      <c r="Y29" s="17" t="s">
        <v>52</v>
      </c>
      <c r="Z29" s="17" t="s">
        <v>51</v>
      </c>
      <c r="AA29" s="17" t="s">
        <v>51</v>
      </c>
      <c r="AB29" s="17" t="s">
        <v>51</v>
      </c>
      <c r="AC29" s="17" t="s">
        <v>51</v>
      </c>
      <c r="AD29" s="29" t="s">
        <v>107</v>
      </c>
      <c r="AE29" s="17" t="s">
        <v>54</v>
      </c>
      <c r="AF29" s="17" t="s">
        <v>54</v>
      </c>
      <c r="AG29" s="17" t="s">
        <v>54</v>
      </c>
      <c r="AH29" s="17" t="s">
        <v>51</v>
      </c>
      <c r="AI29" s="17" t="s">
        <v>51</v>
      </c>
      <c r="AJ29" s="17" t="s">
        <v>51</v>
      </c>
      <c r="AK29" s="25">
        <v>45118</v>
      </c>
      <c r="AL29" s="13" t="s">
        <v>185</v>
      </c>
      <c r="AM29" s="13" t="s">
        <v>186</v>
      </c>
      <c r="AN29" s="18"/>
      <c r="AO29" s="18"/>
    </row>
    <row r="30" spans="1:59" ht="42" customHeight="1" x14ac:dyDescent="0.25">
      <c r="A30" s="48">
        <v>28</v>
      </c>
      <c r="B30" s="49" t="s">
        <v>172</v>
      </c>
      <c r="C30" s="25">
        <v>45110</v>
      </c>
      <c r="D30" s="13">
        <f t="shared" si="3"/>
        <v>8</v>
      </c>
      <c r="E30" s="25">
        <v>45118</v>
      </c>
      <c r="F30" s="27" t="s">
        <v>306</v>
      </c>
      <c r="G30" s="27" t="s">
        <v>307</v>
      </c>
      <c r="H30" s="27" t="s">
        <v>308</v>
      </c>
      <c r="I30" s="17" t="s">
        <v>42</v>
      </c>
      <c r="J30" s="17">
        <v>81</v>
      </c>
      <c r="K30" s="38" t="s">
        <v>309</v>
      </c>
      <c r="L30" s="60" t="s">
        <v>293</v>
      </c>
      <c r="M30" s="13" t="s">
        <v>142</v>
      </c>
      <c r="N30" s="25">
        <v>15496</v>
      </c>
      <c r="O30" s="17">
        <v>99000733</v>
      </c>
      <c r="P30" s="17" t="s">
        <v>73</v>
      </c>
      <c r="Q30" s="29" t="s">
        <v>74</v>
      </c>
      <c r="R30" s="29" t="s">
        <v>310</v>
      </c>
      <c r="S30" s="17">
        <v>79</v>
      </c>
      <c r="T30" s="17" t="s">
        <v>48</v>
      </c>
      <c r="U30" s="13" t="s">
        <v>66</v>
      </c>
      <c r="V30" s="17">
        <v>99798726</v>
      </c>
      <c r="W30" s="17" t="s">
        <v>50</v>
      </c>
      <c r="X30" s="17" t="s">
        <v>52</v>
      </c>
      <c r="Y30" s="17" t="s">
        <v>51</v>
      </c>
      <c r="Z30" s="17" t="s">
        <v>51</v>
      </c>
      <c r="AA30" s="17" t="s">
        <v>51</v>
      </c>
      <c r="AB30" s="17" t="s">
        <v>51</v>
      </c>
      <c r="AC30" s="17" t="s">
        <v>51</v>
      </c>
      <c r="AD30" s="29" t="s">
        <v>107</v>
      </c>
      <c r="AE30" s="17" t="s">
        <v>54</v>
      </c>
      <c r="AF30" s="17" t="s">
        <v>54</v>
      </c>
      <c r="AG30" s="17" t="s">
        <v>54</v>
      </c>
      <c r="AH30" s="17" t="s">
        <v>51</v>
      </c>
      <c r="AI30" s="17" t="s">
        <v>51</v>
      </c>
      <c r="AJ30" s="17" t="s">
        <v>51</v>
      </c>
      <c r="AK30" s="25">
        <v>45118</v>
      </c>
      <c r="AL30" s="13" t="s">
        <v>185</v>
      </c>
      <c r="AM30" s="13" t="s">
        <v>186</v>
      </c>
      <c r="AN30" s="18"/>
      <c r="AO30" s="18"/>
    </row>
    <row r="31" spans="1:59" ht="56.25" customHeight="1" x14ac:dyDescent="0.25">
      <c r="A31" s="48">
        <v>29</v>
      </c>
      <c r="B31" s="49" t="s">
        <v>172</v>
      </c>
      <c r="C31" s="25">
        <v>45110</v>
      </c>
      <c r="D31" s="13">
        <f>DAYS360(C31,E31)</f>
        <v>25</v>
      </c>
      <c r="E31" s="89">
        <v>45135</v>
      </c>
      <c r="F31" s="27" t="s">
        <v>77</v>
      </c>
      <c r="G31" s="27" t="s">
        <v>78</v>
      </c>
      <c r="H31" s="27" t="s">
        <v>79</v>
      </c>
      <c r="I31" s="17" t="s">
        <v>42</v>
      </c>
      <c r="J31" s="17">
        <v>24</v>
      </c>
      <c r="K31" s="38" t="s">
        <v>80</v>
      </c>
      <c r="L31" s="60" t="s">
        <v>51</v>
      </c>
      <c r="M31" s="13" t="s">
        <v>311</v>
      </c>
      <c r="N31" s="25">
        <v>36252</v>
      </c>
      <c r="O31" s="17">
        <v>99000434</v>
      </c>
      <c r="P31" s="17" t="s">
        <v>61</v>
      </c>
      <c r="Q31" s="29" t="s">
        <v>82</v>
      </c>
      <c r="R31" s="29" t="s">
        <v>83</v>
      </c>
      <c r="S31" s="17">
        <v>23</v>
      </c>
      <c r="T31" s="17" t="s">
        <v>48</v>
      </c>
      <c r="U31" s="13" t="s">
        <v>49</v>
      </c>
      <c r="V31" s="17">
        <v>977472822</v>
      </c>
      <c r="W31" s="17" t="s">
        <v>84</v>
      </c>
      <c r="X31" s="17" t="s">
        <v>51</v>
      </c>
      <c r="Y31" s="17" t="s">
        <v>51</v>
      </c>
      <c r="Z31" s="17" t="s">
        <v>51</v>
      </c>
      <c r="AA31" s="17" t="s">
        <v>53</v>
      </c>
      <c r="AB31" s="17" t="s">
        <v>51</v>
      </c>
      <c r="AC31" s="17" t="s">
        <v>51</v>
      </c>
      <c r="AD31" s="29" t="s">
        <v>51</v>
      </c>
      <c r="AE31" s="17" t="s">
        <v>54</v>
      </c>
      <c r="AF31" s="17" t="s">
        <v>54</v>
      </c>
      <c r="AG31" s="17" t="s">
        <v>54</v>
      </c>
      <c r="AH31" s="17" t="s">
        <v>51</v>
      </c>
      <c r="AI31" s="17" t="s">
        <v>51</v>
      </c>
      <c r="AJ31" s="17" t="s">
        <v>51</v>
      </c>
      <c r="AK31" s="89">
        <v>45135</v>
      </c>
      <c r="AL31" s="17"/>
      <c r="AM31" s="29" t="s">
        <v>427</v>
      </c>
      <c r="AN31" s="18"/>
      <c r="AO31" s="18"/>
    </row>
    <row r="32" spans="1:59" ht="43.5" customHeight="1" x14ac:dyDescent="0.25">
      <c r="A32" s="48">
        <v>30</v>
      </c>
      <c r="B32" s="49" t="s">
        <v>172</v>
      </c>
      <c r="C32" s="25">
        <v>45110</v>
      </c>
      <c r="D32" s="17">
        <f>DAYS360(C32,E32)</f>
        <v>8</v>
      </c>
      <c r="E32" s="25">
        <v>45118</v>
      </c>
      <c r="F32" s="27" t="s">
        <v>312</v>
      </c>
      <c r="G32" s="27" t="s">
        <v>313</v>
      </c>
      <c r="H32" s="27" t="s">
        <v>314</v>
      </c>
      <c r="I32" s="17" t="s">
        <v>42</v>
      </c>
      <c r="J32" s="17">
        <v>62</v>
      </c>
      <c r="K32" s="38" t="s">
        <v>315</v>
      </c>
      <c r="L32" s="60" t="s">
        <v>357</v>
      </c>
      <c r="M32" s="13" t="s">
        <v>142</v>
      </c>
      <c r="N32" s="25">
        <v>22187</v>
      </c>
      <c r="O32" s="17">
        <v>200636982</v>
      </c>
      <c r="P32" s="17" t="s">
        <v>89</v>
      </c>
      <c r="Q32" s="29" t="s">
        <v>74</v>
      </c>
      <c r="R32" s="29" t="s">
        <v>316</v>
      </c>
      <c r="S32" s="17">
        <v>1175</v>
      </c>
      <c r="T32" s="17" t="s">
        <v>48</v>
      </c>
      <c r="U32" s="13" t="s">
        <v>49</v>
      </c>
      <c r="V32" s="17">
        <v>977200656</v>
      </c>
      <c r="W32" s="17" t="s">
        <v>317</v>
      </c>
      <c r="X32" s="17" t="s">
        <v>52</v>
      </c>
      <c r="Y32" s="17" t="s">
        <v>51</v>
      </c>
      <c r="Z32" s="17" t="s">
        <v>51</v>
      </c>
      <c r="AA32" s="17" t="s">
        <v>51</v>
      </c>
      <c r="AB32" s="17" t="s">
        <v>76</v>
      </c>
      <c r="AC32" s="17" t="s">
        <v>76</v>
      </c>
      <c r="AD32" s="29" t="s">
        <v>107</v>
      </c>
      <c r="AE32" s="17" t="s">
        <v>54</v>
      </c>
      <c r="AF32" s="17" t="s">
        <v>54</v>
      </c>
      <c r="AG32" s="17" t="s">
        <v>54</v>
      </c>
      <c r="AH32" s="17" t="s">
        <v>108</v>
      </c>
      <c r="AI32" s="17" t="s">
        <v>76</v>
      </c>
      <c r="AJ32" s="17" t="s">
        <v>51</v>
      </c>
      <c r="AK32" s="25">
        <v>45118</v>
      </c>
      <c r="AL32" s="17" t="s">
        <v>185</v>
      </c>
      <c r="AM32" s="13" t="s">
        <v>186</v>
      </c>
      <c r="AN32" s="18"/>
      <c r="AO32" s="18"/>
    </row>
    <row r="33" spans="1:59" ht="47.25" customHeight="1" x14ac:dyDescent="0.25">
      <c r="A33" s="48">
        <v>31</v>
      </c>
      <c r="B33" s="62" t="s">
        <v>172</v>
      </c>
      <c r="C33" s="25">
        <v>45112</v>
      </c>
      <c r="D33" s="17">
        <f t="shared" ref="D33:D34" si="4">DAYS360(C33,E33)</f>
        <v>7</v>
      </c>
      <c r="E33" s="25">
        <v>45119</v>
      </c>
      <c r="F33" s="63" t="s">
        <v>318</v>
      </c>
      <c r="G33" s="63" t="s">
        <v>79</v>
      </c>
      <c r="H33" s="63" t="s">
        <v>319</v>
      </c>
      <c r="I33" s="17" t="s">
        <v>59</v>
      </c>
      <c r="J33" s="17">
        <v>32</v>
      </c>
      <c r="K33" s="38" t="s">
        <v>320</v>
      </c>
      <c r="L33" s="60" t="s">
        <v>51</v>
      </c>
      <c r="M33" s="13" t="s">
        <v>173</v>
      </c>
      <c r="N33" s="25">
        <v>33133</v>
      </c>
      <c r="O33" s="17">
        <v>2010061806</v>
      </c>
      <c r="P33" s="17" t="s">
        <v>73</v>
      </c>
      <c r="Q33" s="29" t="s">
        <v>321</v>
      </c>
      <c r="R33" s="29" t="s">
        <v>322</v>
      </c>
      <c r="S33" s="17">
        <v>451</v>
      </c>
      <c r="T33" s="17" t="s">
        <v>48</v>
      </c>
      <c r="U33" s="13" t="s">
        <v>49</v>
      </c>
      <c r="V33" s="17">
        <v>966522232</v>
      </c>
      <c r="W33" s="17" t="s">
        <v>317</v>
      </c>
      <c r="X33" s="17" t="s">
        <v>52</v>
      </c>
      <c r="Y33" s="17" t="s">
        <v>51</v>
      </c>
      <c r="Z33" s="17" t="s">
        <v>51</v>
      </c>
      <c r="AA33" s="17" t="s">
        <v>114</v>
      </c>
      <c r="AB33" s="17" t="s">
        <v>54</v>
      </c>
      <c r="AC33" s="17" t="s">
        <v>76</v>
      </c>
      <c r="AD33" s="29" t="s">
        <v>51</v>
      </c>
      <c r="AE33" s="17" t="s">
        <v>54</v>
      </c>
      <c r="AF33" s="17" t="s">
        <v>54</v>
      </c>
      <c r="AG33" s="17" t="s">
        <v>76</v>
      </c>
      <c r="AH33" s="17" t="s">
        <v>51</v>
      </c>
      <c r="AI33" s="17" t="s">
        <v>76</v>
      </c>
      <c r="AJ33" s="17" t="s">
        <v>76</v>
      </c>
      <c r="AK33" s="25">
        <v>45119</v>
      </c>
      <c r="AL33" s="17" t="s">
        <v>175</v>
      </c>
      <c r="AM33" s="29" t="s">
        <v>323</v>
      </c>
      <c r="AN33" s="18"/>
      <c r="AO33" s="18"/>
    </row>
    <row r="34" spans="1:59" ht="42" customHeight="1" x14ac:dyDescent="0.25">
      <c r="A34" s="48">
        <v>32</v>
      </c>
      <c r="B34" s="49" t="s">
        <v>172</v>
      </c>
      <c r="C34" s="12">
        <v>45112</v>
      </c>
      <c r="D34" s="17">
        <f t="shared" si="4"/>
        <v>5</v>
      </c>
      <c r="E34" s="12">
        <v>45117</v>
      </c>
      <c r="F34" s="15" t="s">
        <v>324</v>
      </c>
      <c r="G34" s="15" t="s">
        <v>325</v>
      </c>
      <c r="H34" s="15" t="s">
        <v>326</v>
      </c>
      <c r="I34" s="13" t="s">
        <v>42</v>
      </c>
      <c r="J34" s="13">
        <v>86</v>
      </c>
      <c r="K34" s="20" t="s">
        <v>327</v>
      </c>
      <c r="L34" s="60" t="s">
        <v>293</v>
      </c>
      <c r="M34" s="13" t="s">
        <v>142</v>
      </c>
      <c r="N34" s="12">
        <v>20779</v>
      </c>
      <c r="O34" s="13">
        <v>2003022108</v>
      </c>
      <c r="P34" s="13" t="s">
        <v>89</v>
      </c>
      <c r="Q34" s="16" t="s">
        <v>90</v>
      </c>
      <c r="R34" s="16" t="s">
        <v>328</v>
      </c>
      <c r="S34" s="13">
        <v>742</v>
      </c>
      <c r="T34" s="13" t="s">
        <v>48</v>
      </c>
      <c r="U34" s="13" t="s">
        <v>49</v>
      </c>
      <c r="V34" s="13">
        <v>988950760</v>
      </c>
      <c r="W34" s="13" t="s">
        <v>317</v>
      </c>
      <c r="X34" s="13" t="s">
        <v>52</v>
      </c>
      <c r="Y34" s="13" t="s">
        <v>51</v>
      </c>
      <c r="Z34" s="13" t="s">
        <v>51</v>
      </c>
      <c r="AA34" s="13" t="s">
        <v>51</v>
      </c>
      <c r="AB34" s="13" t="s">
        <v>76</v>
      </c>
      <c r="AC34" s="13" t="s">
        <v>76</v>
      </c>
      <c r="AD34" s="16" t="s">
        <v>51</v>
      </c>
      <c r="AE34" s="13" t="s">
        <v>54</v>
      </c>
      <c r="AF34" s="13" t="s">
        <v>54</v>
      </c>
      <c r="AG34" s="13" t="s">
        <v>76</v>
      </c>
      <c r="AH34" s="13" t="s">
        <v>51</v>
      </c>
      <c r="AI34" s="13" t="s">
        <v>76</v>
      </c>
      <c r="AJ34" s="13" t="s">
        <v>51</v>
      </c>
      <c r="AK34" s="12">
        <v>45117</v>
      </c>
      <c r="AL34" s="13" t="s">
        <v>185</v>
      </c>
      <c r="AM34" s="13" t="s">
        <v>186</v>
      </c>
      <c r="AN34" s="51"/>
      <c r="AO34" s="51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</row>
    <row r="35" spans="1:59" ht="36" customHeight="1" x14ac:dyDescent="0.25">
      <c r="A35" s="48">
        <v>33</v>
      </c>
      <c r="B35" s="49" t="s">
        <v>172</v>
      </c>
      <c r="C35" s="25">
        <v>45113</v>
      </c>
      <c r="D35" s="13">
        <f>DAYS360(C35,E35)</f>
        <v>20</v>
      </c>
      <c r="E35" s="89">
        <v>45133</v>
      </c>
      <c r="F35" s="15" t="s">
        <v>85</v>
      </c>
      <c r="G35" s="15" t="s">
        <v>86</v>
      </c>
      <c r="H35" s="15" t="s">
        <v>87</v>
      </c>
      <c r="I35" s="13" t="s">
        <v>59</v>
      </c>
      <c r="J35" s="13">
        <v>72</v>
      </c>
      <c r="K35" s="20" t="s">
        <v>88</v>
      </c>
      <c r="L35" s="60" t="s">
        <v>81</v>
      </c>
      <c r="M35" s="13" t="s">
        <v>142</v>
      </c>
      <c r="N35" s="12">
        <v>18574</v>
      </c>
      <c r="O35" s="13">
        <v>200530684</v>
      </c>
      <c r="P35" s="13" t="s">
        <v>89</v>
      </c>
      <c r="Q35" s="16" t="s">
        <v>90</v>
      </c>
      <c r="R35" s="16" t="s">
        <v>91</v>
      </c>
      <c r="S35" s="13">
        <v>1201</v>
      </c>
      <c r="T35" s="13" t="s">
        <v>48</v>
      </c>
      <c r="U35" s="13" t="s">
        <v>49</v>
      </c>
      <c r="V35" s="13">
        <v>978396779</v>
      </c>
      <c r="W35" s="13" t="s">
        <v>50</v>
      </c>
      <c r="X35" s="13" t="s">
        <v>51</v>
      </c>
      <c r="Y35" s="13" t="s">
        <v>92</v>
      </c>
      <c r="Z35" s="13" t="s">
        <v>51</v>
      </c>
      <c r="AA35" s="13" t="s">
        <v>51</v>
      </c>
      <c r="AB35" s="13" t="s">
        <v>51</v>
      </c>
      <c r="AC35" s="13" t="s">
        <v>76</v>
      </c>
      <c r="AD35" s="16" t="s">
        <v>51</v>
      </c>
      <c r="AE35" s="13" t="s">
        <v>54</v>
      </c>
      <c r="AF35" s="13" t="s">
        <v>54</v>
      </c>
      <c r="AG35" s="13" t="s">
        <v>54</v>
      </c>
      <c r="AH35" s="13" t="s">
        <v>93</v>
      </c>
      <c r="AI35" s="13" t="s">
        <v>54</v>
      </c>
      <c r="AJ35" s="13" t="s">
        <v>51</v>
      </c>
      <c r="AK35" s="89">
        <v>45133</v>
      </c>
      <c r="AL35" s="17" t="s">
        <v>185</v>
      </c>
      <c r="AM35" s="17" t="s">
        <v>374</v>
      </c>
      <c r="AN35" s="18"/>
      <c r="AO35" s="18"/>
    </row>
    <row r="36" spans="1:59" ht="39" customHeight="1" x14ac:dyDescent="0.25">
      <c r="A36" s="48">
        <v>34</v>
      </c>
      <c r="B36" s="11" t="s">
        <v>38</v>
      </c>
      <c r="C36" s="25">
        <v>45114</v>
      </c>
      <c r="D36" s="13">
        <f t="shared" ref="D36:D39" ca="1" si="5">DAYS360(C36,TODAY())</f>
        <v>24</v>
      </c>
      <c r="E36" s="17"/>
      <c r="F36" s="15" t="s">
        <v>94</v>
      </c>
      <c r="G36" s="15" t="s">
        <v>95</v>
      </c>
      <c r="H36" s="15" t="s">
        <v>96</v>
      </c>
      <c r="I36" s="13" t="s">
        <v>59</v>
      </c>
      <c r="J36" s="13">
        <v>41</v>
      </c>
      <c r="K36" s="20" t="s">
        <v>97</v>
      </c>
      <c r="L36" s="60" t="s">
        <v>51</v>
      </c>
      <c r="M36" s="13" t="s">
        <v>173</v>
      </c>
      <c r="N36" s="12">
        <v>30114</v>
      </c>
      <c r="O36" s="13">
        <v>20210139546</v>
      </c>
      <c r="P36" s="13" t="s">
        <v>61</v>
      </c>
      <c r="Q36" s="16" t="s">
        <v>98</v>
      </c>
      <c r="R36" s="16" t="s">
        <v>99</v>
      </c>
      <c r="S36" s="13" t="s">
        <v>64</v>
      </c>
      <c r="T36" s="13" t="s">
        <v>100</v>
      </c>
      <c r="U36" s="13" t="s">
        <v>66</v>
      </c>
      <c r="V36" s="13">
        <v>920519776</v>
      </c>
      <c r="W36" s="13" t="s">
        <v>50</v>
      </c>
      <c r="X36" s="13" t="s">
        <v>51</v>
      </c>
      <c r="Y36" s="13" t="s">
        <v>51</v>
      </c>
      <c r="Z36" s="13" t="s">
        <v>51</v>
      </c>
      <c r="AA36" s="13" t="s">
        <v>53</v>
      </c>
      <c r="AB36" s="13" t="s">
        <v>51</v>
      </c>
      <c r="AC36" s="13" t="s">
        <v>51</v>
      </c>
      <c r="AD36" s="16" t="s">
        <v>51</v>
      </c>
      <c r="AE36" s="13" t="s">
        <v>54</v>
      </c>
      <c r="AF36" s="13" t="s">
        <v>54</v>
      </c>
      <c r="AG36" s="13" t="s">
        <v>54</v>
      </c>
      <c r="AH36" s="13" t="s">
        <v>51</v>
      </c>
      <c r="AI36" s="13" t="s">
        <v>76</v>
      </c>
      <c r="AJ36" s="13" t="s">
        <v>51</v>
      </c>
      <c r="AK36" s="17"/>
      <c r="AL36" s="17"/>
      <c r="AM36" s="17"/>
      <c r="AN36" s="18"/>
      <c r="AO36" s="18"/>
    </row>
    <row r="37" spans="1:59" ht="28.5" customHeight="1" x14ac:dyDescent="0.25">
      <c r="A37" s="48">
        <v>35</v>
      </c>
      <c r="B37" s="90" t="s">
        <v>172</v>
      </c>
      <c r="C37" s="25">
        <v>45116</v>
      </c>
      <c r="D37" s="13">
        <v>12</v>
      </c>
      <c r="E37" s="89">
        <v>45128</v>
      </c>
      <c r="F37" s="27" t="s">
        <v>101</v>
      </c>
      <c r="G37" s="27" t="s">
        <v>102</v>
      </c>
      <c r="H37" s="27" t="s">
        <v>103</v>
      </c>
      <c r="I37" s="17" t="s">
        <v>42</v>
      </c>
      <c r="J37" s="17">
        <v>89</v>
      </c>
      <c r="K37" s="38" t="s">
        <v>104</v>
      </c>
      <c r="L37" s="60" t="s">
        <v>357</v>
      </c>
      <c r="M37" s="13" t="s">
        <v>142</v>
      </c>
      <c r="N37" s="25">
        <v>12439</v>
      </c>
      <c r="O37" s="17">
        <v>200740336</v>
      </c>
      <c r="P37" s="17" t="s">
        <v>73</v>
      </c>
      <c r="Q37" s="16" t="s">
        <v>90</v>
      </c>
      <c r="R37" s="34" t="s">
        <v>105</v>
      </c>
      <c r="S37" s="13" t="s">
        <v>64</v>
      </c>
      <c r="T37" s="35" t="s">
        <v>106</v>
      </c>
      <c r="U37" s="13" t="s">
        <v>66</v>
      </c>
      <c r="V37" s="17">
        <v>978284183</v>
      </c>
      <c r="W37" s="17" t="s">
        <v>50</v>
      </c>
      <c r="X37" s="17" t="s">
        <v>52</v>
      </c>
      <c r="Y37" s="17" t="s">
        <v>51</v>
      </c>
      <c r="Z37" s="17" t="s">
        <v>51</v>
      </c>
      <c r="AA37" s="17" t="s">
        <v>51</v>
      </c>
      <c r="AB37" s="17" t="s">
        <v>51</v>
      </c>
      <c r="AC37" s="17" t="s">
        <v>51</v>
      </c>
      <c r="AD37" s="29" t="s">
        <v>107</v>
      </c>
      <c r="AE37" s="17" t="s">
        <v>54</v>
      </c>
      <c r="AF37" s="17" t="s">
        <v>54</v>
      </c>
      <c r="AG37" s="17" t="s">
        <v>54</v>
      </c>
      <c r="AH37" s="17" t="s">
        <v>108</v>
      </c>
      <c r="AI37" s="17" t="s">
        <v>76</v>
      </c>
      <c r="AJ37" s="17" t="s">
        <v>76</v>
      </c>
      <c r="AK37" s="89">
        <v>45128</v>
      </c>
      <c r="AL37" s="17" t="s">
        <v>185</v>
      </c>
      <c r="AM37" s="17" t="s">
        <v>374</v>
      </c>
      <c r="AN37" s="18"/>
      <c r="AO37" s="18"/>
    </row>
    <row r="38" spans="1:59" ht="34.5" customHeight="1" x14ac:dyDescent="0.25">
      <c r="A38" s="48">
        <v>36</v>
      </c>
      <c r="B38" s="11" t="s">
        <v>38</v>
      </c>
      <c r="C38" s="25">
        <v>45117</v>
      </c>
      <c r="D38" s="13">
        <f t="shared" ca="1" si="5"/>
        <v>21</v>
      </c>
      <c r="E38" s="17"/>
      <c r="F38" s="27" t="s">
        <v>109</v>
      </c>
      <c r="G38" s="27" t="s">
        <v>110</v>
      </c>
      <c r="H38" s="27" t="s">
        <v>111</v>
      </c>
      <c r="I38" s="17" t="s">
        <v>59</v>
      </c>
      <c r="J38" s="17">
        <v>60</v>
      </c>
      <c r="K38" s="38" t="s">
        <v>112</v>
      </c>
      <c r="L38" s="60" t="s">
        <v>51</v>
      </c>
      <c r="M38" s="13" t="s">
        <v>142</v>
      </c>
      <c r="N38" s="25">
        <v>22866</v>
      </c>
      <c r="O38" s="17">
        <v>202300153187</v>
      </c>
      <c r="P38" s="17" t="s">
        <v>45</v>
      </c>
      <c r="Q38" s="29" t="s">
        <v>46</v>
      </c>
      <c r="R38" s="36" t="s">
        <v>113</v>
      </c>
      <c r="S38" s="13" t="s">
        <v>64</v>
      </c>
      <c r="T38" s="13" t="s">
        <v>48</v>
      </c>
      <c r="U38" s="13" t="s">
        <v>66</v>
      </c>
      <c r="V38" s="36">
        <v>993940151</v>
      </c>
      <c r="W38" s="17" t="s">
        <v>50</v>
      </c>
      <c r="X38" s="17" t="s">
        <v>51</v>
      </c>
      <c r="Y38" s="17" t="s">
        <v>51</v>
      </c>
      <c r="Z38" s="17" t="s">
        <v>51</v>
      </c>
      <c r="AA38" s="17" t="s">
        <v>114</v>
      </c>
      <c r="AB38" s="17" t="s">
        <v>51</v>
      </c>
      <c r="AC38" s="17" t="s">
        <v>51</v>
      </c>
      <c r="AD38" s="29" t="s">
        <v>51</v>
      </c>
      <c r="AE38" s="17" t="s">
        <v>54</v>
      </c>
      <c r="AF38" s="17" t="s">
        <v>54</v>
      </c>
      <c r="AG38" s="17" t="s">
        <v>54</v>
      </c>
      <c r="AH38" s="17" t="s">
        <v>55</v>
      </c>
      <c r="AI38" s="17" t="s">
        <v>76</v>
      </c>
      <c r="AJ38" s="17" t="s">
        <v>76</v>
      </c>
      <c r="AK38" s="17"/>
      <c r="AL38" s="17"/>
      <c r="AM38" s="17"/>
      <c r="AN38" s="18"/>
      <c r="AO38" s="18"/>
    </row>
    <row r="39" spans="1:59" ht="37.5" customHeight="1" x14ac:dyDescent="0.25">
      <c r="A39" s="48">
        <v>37</v>
      </c>
      <c r="B39" s="11" t="s">
        <v>38</v>
      </c>
      <c r="C39" s="25">
        <v>45117</v>
      </c>
      <c r="D39" s="13">
        <f t="shared" ca="1" si="5"/>
        <v>21</v>
      </c>
      <c r="E39" s="17"/>
      <c r="F39" s="27" t="s">
        <v>115</v>
      </c>
      <c r="G39" s="27" t="s">
        <v>116</v>
      </c>
      <c r="H39" s="27" t="s">
        <v>117</v>
      </c>
      <c r="I39" s="17" t="s">
        <v>42</v>
      </c>
      <c r="J39" s="17">
        <v>73</v>
      </c>
      <c r="K39" s="38" t="s">
        <v>118</v>
      </c>
      <c r="L39" s="60" t="s">
        <v>72</v>
      </c>
      <c r="M39" s="13" t="s">
        <v>142</v>
      </c>
      <c r="N39" s="25">
        <v>18117</v>
      </c>
      <c r="O39" s="17">
        <v>200746289</v>
      </c>
      <c r="P39" s="17" t="s">
        <v>45</v>
      </c>
      <c r="Q39" s="29" t="s">
        <v>119</v>
      </c>
      <c r="R39" s="29" t="s">
        <v>120</v>
      </c>
      <c r="S39" s="13" t="s">
        <v>64</v>
      </c>
      <c r="T39" s="13" t="s">
        <v>48</v>
      </c>
      <c r="U39" s="13" t="s">
        <v>66</v>
      </c>
      <c r="V39" s="36">
        <v>999606735</v>
      </c>
      <c r="W39" s="17" t="s">
        <v>50</v>
      </c>
      <c r="X39" s="17" t="s">
        <v>51</v>
      </c>
      <c r="Y39" s="17" t="s">
        <v>51</v>
      </c>
      <c r="Z39" s="17" t="s">
        <v>51</v>
      </c>
      <c r="AA39" s="17" t="s">
        <v>114</v>
      </c>
      <c r="AB39" s="17" t="s">
        <v>51</v>
      </c>
      <c r="AC39" s="17" t="s">
        <v>51</v>
      </c>
      <c r="AD39" s="29" t="s">
        <v>51</v>
      </c>
      <c r="AE39" s="17" t="s">
        <v>54</v>
      </c>
      <c r="AF39" s="17" t="s">
        <v>54</v>
      </c>
      <c r="AG39" s="17" t="s">
        <v>54</v>
      </c>
      <c r="AH39" s="17" t="s">
        <v>51</v>
      </c>
      <c r="AI39" s="17" t="s">
        <v>76</v>
      </c>
      <c r="AJ39" s="17" t="s">
        <v>76</v>
      </c>
      <c r="AK39" s="17"/>
      <c r="AL39" s="17"/>
      <c r="AM39" s="17"/>
      <c r="AN39" s="18"/>
      <c r="AO39" s="18"/>
    </row>
    <row r="40" spans="1:59" ht="35.25" customHeight="1" x14ac:dyDescent="0.25">
      <c r="A40" s="48">
        <v>38</v>
      </c>
      <c r="B40" s="90" t="s">
        <v>172</v>
      </c>
      <c r="C40" s="25">
        <v>45117</v>
      </c>
      <c r="D40" s="17">
        <v>11</v>
      </c>
      <c r="E40" s="89">
        <v>45128</v>
      </c>
      <c r="F40" s="27" t="s">
        <v>121</v>
      </c>
      <c r="G40" s="27" t="s">
        <v>122</v>
      </c>
      <c r="H40" s="27" t="s">
        <v>123</v>
      </c>
      <c r="I40" s="17" t="s">
        <v>59</v>
      </c>
      <c r="J40" s="17">
        <v>91</v>
      </c>
      <c r="K40" s="38" t="s">
        <v>124</v>
      </c>
      <c r="L40" s="60" t="s">
        <v>361</v>
      </c>
      <c r="M40" s="13" t="s">
        <v>142</v>
      </c>
      <c r="N40" s="25">
        <v>11825</v>
      </c>
      <c r="O40" s="17" t="s">
        <v>125</v>
      </c>
      <c r="P40" s="17" t="s">
        <v>89</v>
      </c>
      <c r="Q40" s="29" t="s">
        <v>126</v>
      </c>
      <c r="R40" s="36" t="s">
        <v>127</v>
      </c>
      <c r="S40" s="13" t="s">
        <v>64</v>
      </c>
      <c r="T40" s="13" t="s">
        <v>48</v>
      </c>
      <c r="U40" s="13" t="s">
        <v>66</v>
      </c>
      <c r="V40" s="36">
        <v>92644573</v>
      </c>
      <c r="W40" s="17" t="s">
        <v>50</v>
      </c>
      <c r="X40" s="17" t="s">
        <v>52</v>
      </c>
      <c r="Y40" s="17" t="s">
        <v>51</v>
      </c>
      <c r="Z40" s="17" t="s">
        <v>51</v>
      </c>
      <c r="AA40" s="17" t="s">
        <v>51</v>
      </c>
      <c r="AB40" s="17" t="s">
        <v>51</v>
      </c>
      <c r="AC40" s="17" t="s">
        <v>51</v>
      </c>
      <c r="AD40" s="29" t="s">
        <v>107</v>
      </c>
      <c r="AE40" s="17" t="s">
        <v>54</v>
      </c>
      <c r="AF40" s="17" t="s">
        <v>54</v>
      </c>
      <c r="AG40" s="17" t="s">
        <v>54</v>
      </c>
      <c r="AH40" s="17" t="s">
        <v>108</v>
      </c>
      <c r="AI40" s="17" t="s">
        <v>76</v>
      </c>
      <c r="AJ40" s="17" t="s">
        <v>76</v>
      </c>
      <c r="AK40" s="89">
        <v>45128</v>
      </c>
      <c r="AL40" s="17" t="s">
        <v>185</v>
      </c>
      <c r="AM40" s="17" t="s">
        <v>374</v>
      </c>
      <c r="AN40" s="18"/>
      <c r="AO40" s="18"/>
    </row>
    <row r="41" spans="1:59" ht="42.75" customHeight="1" x14ac:dyDescent="0.25">
      <c r="A41" s="48">
        <v>39</v>
      </c>
      <c r="B41" s="11" t="s">
        <v>38</v>
      </c>
      <c r="C41" s="25">
        <v>45118</v>
      </c>
      <c r="D41" s="13">
        <f t="shared" ref="D41" ca="1" si="6">DAYS360(C41,TODAY())</f>
        <v>20</v>
      </c>
      <c r="E41" s="17"/>
      <c r="F41" s="27" t="s">
        <v>128</v>
      </c>
      <c r="G41" s="27" t="s">
        <v>129</v>
      </c>
      <c r="H41" s="27" t="s">
        <v>130</v>
      </c>
      <c r="I41" s="17" t="s">
        <v>42</v>
      </c>
      <c r="J41" s="17">
        <v>76</v>
      </c>
      <c r="K41" s="38" t="s">
        <v>131</v>
      </c>
      <c r="L41" s="60" t="s">
        <v>72</v>
      </c>
      <c r="M41" s="13" t="s">
        <v>142</v>
      </c>
      <c r="N41" s="25">
        <v>17273</v>
      </c>
      <c r="O41" s="17">
        <v>200634562</v>
      </c>
      <c r="P41" s="17" t="s">
        <v>89</v>
      </c>
      <c r="Q41" s="93" t="s">
        <v>132</v>
      </c>
      <c r="R41" s="29" t="s">
        <v>133</v>
      </c>
      <c r="S41" s="17" t="s">
        <v>64</v>
      </c>
      <c r="T41" s="17" t="s">
        <v>48</v>
      </c>
      <c r="U41" s="13" t="s">
        <v>66</v>
      </c>
      <c r="V41" s="17">
        <v>996701243</v>
      </c>
      <c r="W41" s="17" t="s">
        <v>50</v>
      </c>
      <c r="X41" s="17" t="s">
        <v>51</v>
      </c>
      <c r="Y41" s="17" t="s">
        <v>51</v>
      </c>
      <c r="Z41" s="17" t="s">
        <v>51</v>
      </c>
      <c r="AA41" s="17" t="s">
        <v>51</v>
      </c>
      <c r="AB41" s="17" t="s">
        <v>51</v>
      </c>
      <c r="AC41" s="17" t="s">
        <v>51</v>
      </c>
      <c r="AD41" s="17" t="s">
        <v>51</v>
      </c>
      <c r="AE41" s="17" t="s">
        <v>54</v>
      </c>
      <c r="AF41" s="17" t="s">
        <v>54</v>
      </c>
      <c r="AG41" s="17" t="s">
        <v>54</v>
      </c>
      <c r="AH41" s="17" t="s">
        <v>55</v>
      </c>
      <c r="AI41" s="17" t="s">
        <v>54</v>
      </c>
      <c r="AJ41" s="17" t="s">
        <v>51</v>
      </c>
      <c r="AK41" s="17"/>
      <c r="AL41" s="17"/>
      <c r="AM41" s="17"/>
      <c r="AN41" s="18"/>
      <c r="AO41" s="18"/>
    </row>
    <row r="42" spans="1:59" ht="43.5" customHeight="1" x14ac:dyDescent="0.25">
      <c r="A42" s="10">
        <v>40</v>
      </c>
      <c r="B42" s="90" t="s">
        <v>172</v>
      </c>
      <c r="C42" s="25">
        <v>45118</v>
      </c>
      <c r="D42" s="13">
        <f>DAYS360(C42,E42)</f>
        <v>9</v>
      </c>
      <c r="E42" s="89">
        <v>45127</v>
      </c>
      <c r="F42" s="27" t="s">
        <v>134</v>
      </c>
      <c r="G42" s="27" t="s">
        <v>135</v>
      </c>
      <c r="H42" s="27" t="s">
        <v>135</v>
      </c>
      <c r="I42" s="17" t="s">
        <v>59</v>
      </c>
      <c r="J42" s="17">
        <v>75</v>
      </c>
      <c r="K42" s="38" t="s">
        <v>136</v>
      </c>
      <c r="L42" s="60" t="s">
        <v>72</v>
      </c>
      <c r="M42" s="13" t="s">
        <v>142</v>
      </c>
      <c r="N42" s="25">
        <v>17534</v>
      </c>
      <c r="O42" s="17">
        <v>2004023483</v>
      </c>
      <c r="P42" s="17" t="s">
        <v>73</v>
      </c>
      <c r="Q42" s="29" t="s">
        <v>74</v>
      </c>
      <c r="R42" s="29" t="s">
        <v>137</v>
      </c>
      <c r="S42" s="17">
        <v>9068</v>
      </c>
      <c r="T42" s="17" t="s">
        <v>48</v>
      </c>
      <c r="U42" s="13" t="s">
        <v>66</v>
      </c>
      <c r="V42" s="17">
        <v>992934416</v>
      </c>
      <c r="W42" s="17" t="s">
        <v>50</v>
      </c>
      <c r="X42" s="17" t="s">
        <v>52</v>
      </c>
      <c r="Y42" s="17" t="s">
        <v>51</v>
      </c>
      <c r="Z42" s="17" t="s">
        <v>51</v>
      </c>
      <c r="AA42" s="17" t="s">
        <v>51</v>
      </c>
      <c r="AB42" s="17" t="s">
        <v>51</v>
      </c>
      <c r="AC42" s="17" t="s">
        <v>51</v>
      </c>
      <c r="AD42" s="17" t="s">
        <v>51</v>
      </c>
      <c r="AE42" s="17" t="s">
        <v>54</v>
      </c>
      <c r="AF42" s="17" t="s">
        <v>54</v>
      </c>
      <c r="AG42" s="17" t="s">
        <v>54</v>
      </c>
      <c r="AH42" s="17" t="s">
        <v>108</v>
      </c>
      <c r="AI42" s="17" t="s">
        <v>54</v>
      </c>
      <c r="AJ42" s="17" t="s">
        <v>51</v>
      </c>
      <c r="AK42" s="89">
        <v>45127</v>
      </c>
      <c r="AL42" s="17" t="s">
        <v>185</v>
      </c>
      <c r="AM42" s="17" t="s">
        <v>374</v>
      </c>
      <c r="AN42" s="18"/>
      <c r="AO42" s="18"/>
    </row>
    <row r="43" spans="1:59" ht="42" customHeight="1" x14ac:dyDescent="0.25">
      <c r="A43" s="10">
        <v>41</v>
      </c>
      <c r="B43" s="49" t="s">
        <v>172</v>
      </c>
      <c r="C43" s="25">
        <v>45118</v>
      </c>
      <c r="D43" s="13">
        <f>DAYS360(C43,E43)</f>
        <v>6</v>
      </c>
      <c r="E43" s="25">
        <v>45124</v>
      </c>
      <c r="F43" s="27" t="s">
        <v>329</v>
      </c>
      <c r="G43" s="27" t="s">
        <v>201</v>
      </c>
      <c r="H43" s="27" t="s">
        <v>201</v>
      </c>
      <c r="I43" s="17" t="s">
        <v>59</v>
      </c>
      <c r="J43" s="17">
        <v>82</v>
      </c>
      <c r="K43" s="38" t="s">
        <v>330</v>
      </c>
      <c r="L43" s="60" t="s">
        <v>72</v>
      </c>
      <c r="M43" s="13" t="s">
        <v>142</v>
      </c>
      <c r="N43" s="25">
        <v>15059</v>
      </c>
      <c r="O43" s="17">
        <v>200637810</v>
      </c>
      <c r="P43" s="17" t="s">
        <v>73</v>
      </c>
      <c r="Q43" s="29" t="s">
        <v>74</v>
      </c>
      <c r="R43" s="29" t="s">
        <v>331</v>
      </c>
      <c r="S43" s="17">
        <v>1107</v>
      </c>
      <c r="T43" s="17" t="s">
        <v>48</v>
      </c>
      <c r="U43" s="13" t="s">
        <v>49</v>
      </c>
      <c r="V43" s="17">
        <v>986760433</v>
      </c>
      <c r="W43" s="17" t="s">
        <v>50</v>
      </c>
      <c r="X43" s="17" t="s">
        <v>52</v>
      </c>
      <c r="Y43" s="17" t="s">
        <v>51</v>
      </c>
      <c r="Z43" s="17" t="s">
        <v>51</v>
      </c>
      <c r="AA43" s="17" t="s">
        <v>51</v>
      </c>
      <c r="AB43" s="17" t="s">
        <v>54</v>
      </c>
      <c r="AC43" s="17" t="s">
        <v>51</v>
      </c>
      <c r="AD43" s="17" t="s">
        <v>51</v>
      </c>
      <c r="AE43" s="17" t="s">
        <v>54</v>
      </c>
      <c r="AF43" s="17" t="s">
        <v>54</v>
      </c>
      <c r="AG43" s="17" t="s">
        <v>54</v>
      </c>
      <c r="AH43" s="17" t="s">
        <v>51</v>
      </c>
      <c r="AI43" s="17" t="s">
        <v>51</v>
      </c>
      <c r="AJ43" s="17" t="s">
        <v>51</v>
      </c>
      <c r="AK43" s="17"/>
      <c r="AL43" s="17"/>
      <c r="AM43" s="17"/>
      <c r="AN43" s="18"/>
      <c r="AO43" s="18"/>
    </row>
    <row r="44" spans="1:59" ht="48" customHeight="1" x14ac:dyDescent="0.25">
      <c r="A44" s="10">
        <v>42</v>
      </c>
      <c r="B44" s="49" t="s">
        <v>172</v>
      </c>
      <c r="C44" s="25">
        <v>45119</v>
      </c>
      <c r="D44" s="13">
        <v>13</v>
      </c>
      <c r="E44" s="89">
        <v>45132</v>
      </c>
      <c r="F44" s="26" t="s">
        <v>138</v>
      </c>
      <c r="G44" s="27" t="s">
        <v>139</v>
      </c>
      <c r="H44" s="27" t="s">
        <v>140</v>
      </c>
      <c r="I44" s="17" t="s">
        <v>42</v>
      </c>
      <c r="J44" s="17">
        <v>82</v>
      </c>
      <c r="K44" s="38" t="s">
        <v>141</v>
      </c>
      <c r="L44" s="60" t="s">
        <v>72</v>
      </c>
      <c r="M44" s="13" t="s">
        <v>142</v>
      </c>
      <c r="N44" s="25">
        <v>14851</v>
      </c>
      <c r="O44" s="17">
        <v>200634459</v>
      </c>
      <c r="P44" s="17" t="s">
        <v>73</v>
      </c>
      <c r="Q44" s="29" t="s">
        <v>74</v>
      </c>
      <c r="R44" s="29" t="s">
        <v>143</v>
      </c>
      <c r="S44" s="17">
        <v>14</v>
      </c>
      <c r="T44" s="17" t="s">
        <v>48</v>
      </c>
      <c r="U44" s="13" t="s">
        <v>49</v>
      </c>
      <c r="V44" s="17">
        <v>976543319</v>
      </c>
      <c r="W44" s="17" t="s">
        <v>50</v>
      </c>
      <c r="X44" s="17" t="s">
        <v>52</v>
      </c>
      <c r="Y44" s="17" t="s">
        <v>51</v>
      </c>
      <c r="Z44" s="17" t="s">
        <v>51</v>
      </c>
      <c r="AA44" s="17" t="s">
        <v>51</v>
      </c>
      <c r="AB44" s="17" t="s">
        <v>54</v>
      </c>
      <c r="AC44" s="17" t="s">
        <v>51</v>
      </c>
      <c r="AD44" s="17" t="s">
        <v>51</v>
      </c>
      <c r="AE44" s="17" t="s">
        <v>54</v>
      </c>
      <c r="AF44" s="17" t="s">
        <v>54</v>
      </c>
      <c r="AG44" s="17" t="s">
        <v>54</v>
      </c>
      <c r="AH44" s="17" t="s">
        <v>108</v>
      </c>
      <c r="AI44" s="17" t="s">
        <v>51</v>
      </c>
      <c r="AJ44" s="17" t="s">
        <v>51</v>
      </c>
      <c r="AK44" s="89">
        <v>45132</v>
      </c>
      <c r="AL44" s="17" t="s">
        <v>185</v>
      </c>
      <c r="AM44" s="17" t="s">
        <v>186</v>
      </c>
      <c r="AN44" s="18"/>
      <c r="AO44" s="18"/>
    </row>
    <row r="45" spans="1:59" ht="46.5" customHeight="1" x14ac:dyDescent="0.25">
      <c r="A45" s="10">
        <v>43</v>
      </c>
      <c r="B45" s="11" t="s">
        <v>38</v>
      </c>
      <c r="C45" s="25">
        <v>45119</v>
      </c>
      <c r="D45" s="13">
        <f t="shared" ref="D45:D46" ca="1" si="7">DAYS360(C45,TODAY())</f>
        <v>19</v>
      </c>
      <c r="E45" s="17"/>
      <c r="F45" s="26" t="s">
        <v>144</v>
      </c>
      <c r="G45" s="27" t="s">
        <v>145</v>
      </c>
      <c r="H45" s="27" t="s">
        <v>79</v>
      </c>
      <c r="I45" s="17" t="s">
        <v>59</v>
      </c>
      <c r="J45" s="17">
        <v>65</v>
      </c>
      <c r="K45" s="38" t="s">
        <v>146</v>
      </c>
      <c r="L45" s="60" t="s">
        <v>81</v>
      </c>
      <c r="M45" s="13" t="s">
        <v>142</v>
      </c>
      <c r="N45" s="25">
        <v>21052</v>
      </c>
      <c r="O45" s="17">
        <v>200635384</v>
      </c>
      <c r="P45" s="17" t="s">
        <v>89</v>
      </c>
      <c r="Q45" s="29" t="s">
        <v>147</v>
      </c>
      <c r="R45" s="29" t="s">
        <v>148</v>
      </c>
      <c r="S45" s="17">
        <v>183</v>
      </c>
      <c r="T45" s="17" t="s">
        <v>48</v>
      </c>
      <c r="U45" s="13" t="s">
        <v>49</v>
      </c>
      <c r="V45" s="17">
        <v>982642533</v>
      </c>
      <c r="W45" s="17" t="s">
        <v>50</v>
      </c>
      <c r="X45" s="17" t="s">
        <v>51</v>
      </c>
      <c r="Y45" s="17" t="s">
        <v>51</v>
      </c>
      <c r="Z45" s="17" t="s">
        <v>51</v>
      </c>
      <c r="AA45" s="17" t="s">
        <v>51</v>
      </c>
      <c r="AB45" s="17" t="s">
        <v>54</v>
      </c>
      <c r="AC45" s="17" t="s">
        <v>51</v>
      </c>
      <c r="AD45" s="17" t="s">
        <v>51</v>
      </c>
      <c r="AE45" s="17" t="s">
        <v>54</v>
      </c>
      <c r="AF45" s="17" t="s">
        <v>54</v>
      </c>
      <c r="AG45" s="17" t="s">
        <v>54</v>
      </c>
      <c r="AH45" s="17" t="s">
        <v>55</v>
      </c>
      <c r="AI45" s="17" t="s">
        <v>54</v>
      </c>
      <c r="AJ45" s="17" t="s">
        <v>51</v>
      </c>
      <c r="AK45" s="17"/>
      <c r="AL45" s="17"/>
      <c r="AM45" s="17"/>
      <c r="AN45" s="18"/>
      <c r="AO45" s="18"/>
    </row>
    <row r="46" spans="1:59" ht="61.5" customHeight="1" x14ac:dyDescent="0.25">
      <c r="A46" s="10">
        <v>44</v>
      </c>
      <c r="B46" s="90" t="s">
        <v>172</v>
      </c>
      <c r="C46" s="25">
        <v>45119</v>
      </c>
      <c r="D46" s="13">
        <f>DAYS360(C46,E46)</f>
        <v>18</v>
      </c>
      <c r="E46" s="89">
        <v>45137</v>
      </c>
      <c r="F46" s="26" t="s">
        <v>109</v>
      </c>
      <c r="G46" s="27" t="s">
        <v>149</v>
      </c>
      <c r="H46" s="27" t="s">
        <v>150</v>
      </c>
      <c r="I46" s="17" t="s">
        <v>59</v>
      </c>
      <c r="J46" s="17">
        <v>72</v>
      </c>
      <c r="K46" s="38" t="s">
        <v>151</v>
      </c>
      <c r="L46" s="60" t="s">
        <v>72</v>
      </c>
      <c r="M46" s="13" t="s">
        <v>142</v>
      </c>
      <c r="N46" s="25">
        <v>18540</v>
      </c>
      <c r="O46" s="17">
        <v>99000663</v>
      </c>
      <c r="P46" s="17" t="s">
        <v>73</v>
      </c>
      <c r="Q46" s="29" t="s">
        <v>152</v>
      </c>
      <c r="R46" s="29" t="s">
        <v>153</v>
      </c>
      <c r="S46" s="17">
        <v>645</v>
      </c>
      <c r="T46" s="17" t="s">
        <v>48</v>
      </c>
      <c r="U46" s="13" t="s">
        <v>49</v>
      </c>
      <c r="V46" s="17">
        <v>976543319</v>
      </c>
      <c r="W46" s="17" t="s">
        <v>50</v>
      </c>
      <c r="X46" s="17" t="s">
        <v>52</v>
      </c>
      <c r="Y46" s="17" t="s">
        <v>51</v>
      </c>
      <c r="Z46" s="17" t="s">
        <v>51</v>
      </c>
      <c r="AA46" s="17" t="s">
        <v>51</v>
      </c>
      <c r="AB46" s="17" t="s">
        <v>54</v>
      </c>
      <c r="AC46" s="17" t="s">
        <v>51</v>
      </c>
      <c r="AD46" s="17" t="s">
        <v>51</v>
      </c>
      <c r="AE46" s="17" t="s">
        <v>54</v>
      </c>
      <c r="AF46" s="17" t="s">
        <v>54</v>
      </c>
      <c r="AG46" s="17" t="s">
        <v>54</v>
      </c>
      <c r="AH46" s="17" t="s">
        <v>51</v>
      </c>
      <c r="AI46" s="17" t="s">
        <v>51</v>
      </c>
      <c r="AJ46" s="17" t="s">
        <v>51</v>
      </c>
      <c r="AK46" s="89">
        <v>45127</v>
      </c>
      <c r="AL46" s="17" t="s">
        <v>175</v>
      </c>
      <c r="AM46" s="17" t="s">
        <v>429</v>
      </c>
      <c r="AN46" s="18"/>
      <c r="AO46" s="18"/>
    </row>
    <row r="47" spans="1:59" ht="51" customHeight="1" x14ac:dyDescent="0.25">
      <c r="A47" s="10">
        <v>45</v>
      </c>
      <c r="B47" s="90" t="s">
        <v>172</v>
      </c>
      <c r="C47" s="25">
        <v>45120</v>
      </c>
      <c r="D47" s="13">
        <v>7</v>
      </c>
      <c r="E47" s="89">
        <v>45127</v>
      </c>
      <c r="F47" s="27" t="s">
        <v>154</v>
      </c>
      <c r="G47" s="27" t="s">
        <v>155</v>
      </c>
      <c r="H47" s="27" t="s">
        <v>156</v>
      </c>
      <c r="I47" s="17" t="s">
        <v>59</v>
      </c>
      <c r="J47" s="17">
        <v>79</v>
      </c>
      <c r="K47" s="38" t="s">
        <v>157</v>
      </c>
      <c r="L47" s="60" t="s">
        <v>72</v>
      </c>
      <c r="M47" s="13" t="s">
        <v>142</v>
      </c>
      <c r="N47" s="25">
        <v>16010</v>
      </c>
      <c r="O47" s="17">
        <v>2003021892</v>
      </c>
      <c r="P47" s="17" t="s">
        <v>89</v>
      </c>
      <c r="Q47" s="29" t="s">
        <v>90</v>
      </c>
      <c r="R47" s="29" t="s">
        <v>158</v>
      </c>
      <c r="S47" s="17">
        <v>0</v>
      </c>
      <c r="T47" s="17" t="s">
        <v>48</v>
      </c>
      <c r="U47" s="13" t="s">
        <v>66</v>
      </c>
      <c r="V47" s="17">
        <v>974117274</v>
      </c>
      <c r="W47" s="17" t="s">
        <v>50</v>
      </c>
      <c r="X47" s="17" t="s">
        <v>51</v>
      </c>
      <c r="Y47" s="17" t="s">
        <v>51</v>
      </c>
      <c r="Z47" s="17" t="s">
        <v>51</v>
      </c>
      <c r="AA47" s="17" t="s">
        <v>51</v>
      </c>
      <c r="AB47" s="17" t="s">
        <v>54</v>
      </c>
      <c r="AC47" s="17" t="s">
        <v>51</v>
      </c>
      <c r="AD47" s="17" t="s">
        <v>51</v>
      </c>
      <c r="AE47" s="17" t="s">
        <v>54</v>
      </c>
      <c r="AF47" s="17" t="s">
        <v>54</v>
      </c>
      <c r="AG47" s="17" t="s">
        <v>54</v>
      </c>
      <c r="AH47" s="17" t="s">
        <v>93</v>
      </c>
      <c r="AI47" s="17" t="s">
        <v>51</v>
      </c>
      <c r="AJ47" s="17" t="s">
        <v>51</v>
      </c>
      <c r="AK47" s="89">
        <v>45127</v>
      </c>
      <c r="AL47" s="17" t="s">
        <v>358</v>
      </c>
      <c r="AM47" s="29" t="s">
        <v>388</v>
      </c>
      <c r="AN47" s="18"/>
      <c r="AO47" s="18"/>
    </row>
    <row r="48" spans="1:59" ht="38.25" customHeight="1" x14ac:dyDescent="0.25">
      <c r="A48" s="10">
        <v>46</v>
      </c>
      <c r="B48" s="49" t="s">
        <v>172</v>
      </c>
      <c r="C48" s="25">
        <v>45120</v>
      </c>
      <c r="D48" s="17">
        <v>3</v>
      </c>
      <c r="E48" s="25">
        <v>45123</v>
      </c>
      <c r="F48" s="27" t="s">
        <v>332</v>
      </c>
      <c r="G48" s="27" t="s">
        <v>333</v>
      </c>
      <c r="H48" s="27" t="s">
        <v>334</v>
      </c>
      <c r="I48" s="17" t="s">
        <v>42</v>
      </c>
      <c r="J48" s="17">
        <v>94</v>
      </c>
      <c r="K48" s="38" t="s">
        <v>335</v>
      </c>
      <c r="L48" s="60" t="s">
        <v>81</v>
      </c>
      <c r="M48" s="13" t="s">
        <v>142</v>
      </c>
      <c r="N48" s="64" t="s">
        <v>336</v>
      </c>
      <c r="O48" s="17">
        <v>200636068</v>
      </c>
      <c r="P48" s="17" t="s">
        <v>45</v>
      </c>
      <c r="Q48" s="29" t="s">
        <v>46</v>
      </c>
      <c r="R48" s="29" t="s">
        <v>337</v>
      </c>
      <c r="S48" s="17">
        <v>1009</v>
      </c>
      <c r="T48" s="17" t="s">
        <v>48</v>
      </c>
      <c r="U48" s="13" t="s">
        <v>49</v>
      </c>
      <c r="V48" s="17">
        <v>966540129</v>
      </c>
      <c r="W48" s="17" t="s">
        <v>50</v>
      </c>
      <c r="X48" s="17" t="s">
        <v>51</v>
      </c>
      <c r="Y48" s="17" t="s">
        <v>51</v>
      </c>
      <c r="Z48" s="17" t="s">
        <v>51</v>
      </c>
      <c r="AA48" s="17" t="s">
        <v>114</v>
      </c>
      <c r="AB48" s="17" t="s">
        <v>54</v>
      </c>
      <c r="AC48" s="17" t="s">
        <v>51</v>
      </c>
      <c r="AD48" s="17" t="s">
        <v>51</v>
      </c>
      <c r="AE48" s="17" t="s">
        <v>54</v>
      </c>
      <c r="AF48" s="17" t="s">
        <v>54</v>
      </c>
      <c r="AG48" s="17" t="s">
        <v>54</v>
      </c>
      <c r="AH48" s="17" t="s">
        <v>55</v>
      </c>
      <c r="AI48" s="17" t="s">
        <v>51</v>
      </c>
      <c r="AJ48" s="17" t="s">
        <v>51</v>
      </c>
      <c r="AK48" s="25">
        <v>45123</v>
      </c>
      <c r="AL48" s="17" t="s">
        <v>175</v>
      </c>
      <c r="AM48" s="29" t="s">
        <v>338</v>
      </c>
      <c r="AN48" s="18"/>
      <c r="AO48" s="18"/>
    </row>
    <row r="49" spans="1:41" ht="45" customHeight="1" x14ac:dyDescent="0.25">
      <c r="A49" s="10">
        <v>47</v>
      </c>
      <c r="B49" s="11" t="s">
        <v>38</v>
      </c>
      <c r="C49" s="25">
        <v>45120</v>
      </c>
      <c r="D49" s="13">
        <f t="shared" ref="D49:D66" ca="1" si="8">DAYS360(C49,TODAY())</f>
        <v>18</v>
      </c>
      <c r="E49" s="17"/>
      <c r="F49" s="27" t="s">
        <v>159</v>
      </c>
      <c r="G49" s="27" t="s">
        <v>78</v>
      </c>
      <c r="H49" s="27" t="s">
        <v>160</v>
      </c>
      <c r="I49" s="17" t="s">
        <v>42</v>
      </c>
      <c r="J49" s="17">
        <v>78</v>
      </c>
      <c r="K49" s="38" t="s">
        <v>161</v>
      </c>
      <c r="L49" s="60" t="s">
        <v>72</v>
      </c>
      <c r="M49" s="13" t="s">
        <v>142</v>
      </c>
      <c r="N49" s="25">
        <v>16254</v>
      </c>
      <c r="O49" s="17">
        <v>2002014869</v>
      </c>
      <c r="P49" s="17" t="s">
        <v>89</v>
      </c>
      <c r="Q49" s="29" t="s">
        <v>162</v>
      </c>
      <c r="R49" s="29" t="s">
        <v>163</v>
      </c>
      <c r="S49" s="17">
        <v>106</v>
      </c>
      <c r="T49" s="17" t="s">
        <v>48</v>
      </c>
      <c r="U49" s="13" t="s">
        <v>49</v>
      </c>
      <c r="V49" s="17">
        <v>957310149</v>
      </c>
      <c r="W49" s="17" t="s">
        <v>50</v>
      </c>
      <c r="X49" s="17" t="s">
        <v>51</v>
      </c>
      <c r="Y49" s="17" t="s">
        <v>51</v>
      </c>
      <c r="Z49" s="17" t="s">
        <v>51</v>
      </c>
      <c r="AA49" s="17" t="s">
        <v>53</v>
      </c>
      <c r="AB49" s="17" t="s">
        <v>54</v>
      </c>
      <c r="AC49" s="17" t="s">
        <v>51</v>
      </c>
      <c r="AD49" s="17" t="s">
        <v>51</v>
      </c>
      <c r="AE49" s="17" t="s">
        <v>54</v>
      </c>
      <c r="AF49" s="17" t="s">
        <v>54</v>
      </c>
      <c r="AG49" s="17" t="s">
        <v>54</v>
      </c>
      <c r="AH49" s="17" t="s">
        <v>55</v>
      </c>
      <c r="AI49" s="17" t="s">
        <v>51</v>
      </c>
      <c r="AJ49" s="17" t="s">
        <v>51</v>
      </c>
      <c r="AK49" s="17"/>
      <c r="AL49" s="17"/>
      <c r="AM49" s="17"/>
      <c r="AN49" s="18"/>
      <c r="AO49" s="18"/>
    </row>
    <row r="50" spans="1:41" ht="38.25" customHeight="1" x14ac:dyDescent="0.25">
      <c r="A50" s="10">
        <v>48</v>
      </c>
      <c r="B50" s="11" t="s">
        <v>38</v>
      </c>
      <c r="C50" s="25">
        <v>45124</v>
      </c>
      <c r="D50" s="13">
        <f t="shared" ca="1" si="8"/>
        <v>14</v>
      </c>
      <c r="E50" s="17"/>
      <c r="F50" s="27" t="s">
        <v>164</v>
      </c>
      <c r="G50" s="27" t="s">
        <v>165</v>
      </c>
      <c r="H50" s="27" t="s">
        <v>166</v>
      </c>
      <c r="I50" s="17" t="s">
        <v>59</v>
      </c>
      <c r="J50" s="17">
        <v>63</v>
      </c>
      <c r="K50" s="38" t="s">
        <v>167</v>
      </c>
      <c r="L50" s="60" t="s">
        <v>81</v>
      </c>
      <c r="M50" s="13" t="s">
        <v>142</v>
      </c>
      <c r="N50" s="25">
        <v>21749</v>
      </c>
      <c r="O50" s="17">
        <v>202300153481</v>
      </c>
      <c r="P50" s="17" t="s">
        <v>89</v>
      </c>
      <c r="Q50" s="29" t="s">
        <v>168</v>
      </c>
      <c r="R50" s="29" t="s">
        <v>169</v>
      </c>
      <c r="S50" s="17" t="s">
        <v>64</v>
      </c>
      <c r="T50" s="17" t="s">
        <v>48</v>
      </c>
      <c r="U50" s="13" t="s">
        <v>66</v>
      </c>
      <c r="V50" s="17">
        <v>953673599</v>
      </c>
      <c r="W50" s="17" t="s">
        <v>50</v>
      </c>
      <c r="X50" s="17" t="s">
        <v>51</v>
      </c>
      <c r="Y50" s="17" t="s">
        <v>51</v>
      </c>
      <c r="Z50" s="17" t="s">
        <v>51</v>
      </c>
      <c r="AA50" s="17" t="s">
        <v>51</v>
      </c>
      <c r="AB50" s="17" t="s">
        <v>54</v>
      </c>
      <c r="AC50" s="17" t="s">
        <v>51</v>
      </c>
      <c r="AD50" s="17" t="s">
        <v>51</v>
      </c>
      <c r="AE50" s="17" t="s">
        <v>54</v>
      </c>
      <c r="AF50" s="17" t="s">
        <v>54</v>
      </c>
      <c r="AG50" s="17" t="s">
        <v>54</v>
      </c>
      <c r="AH50" s="17" t="s">
        <v>55</v>
      </c>
      <c r="AI50" s="17" t="s">
        <v>54</v>
      </c>
      <c r="AJ50" s="17" t="s">
        <v>51</v>
      </c>
      <c r="AK50" s="17"/>
      <c r="AL50" s="17"/>
      <c r="AM50" s="17"/>
    </row>
    <row r="51" spans="1:41" ht="38.25" customHeight="1" x14ac:dyDescent="0.25">
      <c r="A51" s="10">
        <v>49</v>
      </c>
      <c r="B51" s="11" t="s">
        <v>38</v>
      </c>
      <c r="C51" s="25">
        <v>45125</v>
      </c>
      <c r="D51" s="13">
        <f t="shared" ca="1" si="8"/>
        <v>13</v>
      </c>
      <c r="E51" s="17"/>
      <c r="F51" s="27" t="s">
        <v>369</v>
      </c>
      <c r="G51" s="27" t="s">
        <v>155</v>
      </c>
      <c r="H51" s="27" t="s">
        <v>370</v>
      </c>
      <c r="I51" s="17" t="s">
        <v>42</v>
      </c>
      <c r="J51" s="17">
        <v>79</v>
      </c>
      <c r="K51" s="38" t="s">
        <v>371</v>
      </c>
      <c r="L51" s="60" t="s">
        <v>361</v>
      </c>
      <c r="M51" s="13" t="s">
        <v>142</v>
      </c>
      <c r="N51" s="25">
        <v>16081</v>
      </c>
      <c r="O51" s="17">
        <v>20180112880</v>
      </c>
      <c r="P51" s="17" t="s">
        <v>89</v>
      </c>
      <c r="Q51" s="29" t="s">
        <v>213</v>
      </c>
      <c r="R51" s="29" t="s">
        <v>372</v>
      </c>
      <c r="S51" s="17" t="s">
        <v>64</v>
      </c>
      <c r="T51" s="17" t="s">
        <v>48</v>
      </c>
      <c r="U51" s="13" t="s">
        <v>66</v>
      </c>
      <c r="V51" s="17"/>
      <c r="W51" s="17" t="s">
        <v>50</v>
      </c>
      <c r="X51" s="17" t="s">
        <v>52</v>
      </c>
      <c r="Y51" s="17" t="s">
        <v>51</v>
      </c>
      <c r="Z51" s="17" t="s">
        <v>51</v>
      </c>
      <c r="AA51" s="17" t="s">
        <v>53</v>
      </c>
      <c r="AB51" s="17" t="s">
        <v>76</v>
      </c>
      <c r="AC51" s="17" t="s">
        <v>51</v>
      </c>
      <c r="AD51" s="17" t="s">
        <v>51</v>
      </c>
      <c r="AE51" s="17" t="s">
        <v>54</v>
      </c>
      <c r="AF51" s="17" t="s">
        <v>54</v>
      </c>
      <c r="AG51" s="17" t="s">
        <v>76</v>
      </c>
      <c r="AH51" s="17" t="s">
        <v>55</v>
      </c>
      <c r="AI51" s="17" t="s">
        <v>76</v>
      </c>
      <c r="AJ51" s="17" t="s">
        <v>76</v>
      </c>
      <c r="AK51" s="17"/>
      <c r="AL51" s="17"/>
      <c r="AM51" s="17"/>
    </row>
    <row r="52" spans="1:41" ht="47.25" customHeight="1" x14ac:dyDescent="0.25">
      <c r="A52" s="10">
        <v>50</v>
      </c>
      <c r="B52" s="11" t="s">
        <v>38</v>
      </c>
      <c r="C52" s="25">
        <v>45125</v>
      </c>
      <c r="D52" s="13">
        <f t="shared" ca="1" si="8"/>
        <v>13</v>
      </c>
      <c r="E52" s="25"/>
      <c r="F52" s="63" t="s">
        <v>318</v>
      </c>
      <c r="G52" s="63" t="s">
        <v>79</v>
      </c>
      <c r="H52" s="63" t="s">
        <v>319</v>
      </c>
      <c r="I52" s="17" t="s">
        <v>59</v>
      </c>
      <c r="J52" s="17">
        <v>32</v>
      </c>
      <c r="K52" s="38" t="s">
        <v>320</v>
      </c>
      <c r="L52" s="60" t="s">
        <v>51</v>
      </c>
      <c r="M52" s="13" t="s">
        <v>173</v>
      </c>
      <c r="N52" s="25">
        <v>33133</v>
      </c>
      <c r="O52" s="17">
        <v>2010061806</v>
      </c>
      <c r="P52" s="17" t="s">
        <v>259</v>
      </c>
      <c r="Q52" s="29" t="s">
        <v>366</v>
      </c>
      <c r="R52" s="29" t="s">
        <v>322</v>
      </c>
      <c r="S52" s="17">
        <v>451</v>
      </c>
      <c r="T52" s="17" t="s">
        <v>48</v>
      </c>
      <c r="U52" s="13" t="s">
        <v>49</v>
      </c>
      <c r="V52" s="17">
        <v>966522232</v>
      </c>
      <c r="W52" s="17" t="s">
        <v>50</v>
      </c>
      <c r="X52" s="17" t="s">
        <v>52</v>
      </c>
      <c r="Y52" s="17" t="s">
        <v>51</v>
      </c>
      <c r="Z52" s="17" t="s">
        <v>51</v>
      </c>
      <c r="AA52" s="17" t="s">
        <v>114</v>
      </c>
      <c r="AB52" s="17" t="s">
        <v>54</v>
      </c>
      <c r="AC52" s="17" t="s">
        <v>76</v>
      </c>
      <c r="AD52" s="29" t="s">
        <v>51</v>
      </c>
      <c r="AE52" s="17" t="s">
        <v>54</v>
      </c>
      <c r="AF52" s="17" t="s">
        <v>54</v>
      </c>
      <c r="AG52" s="17" t="s">
        <v>76</v>
      </c>
      <c r="AH52" s="17" t="s">
        <v>51</v>
      </c>
      <c r="AI52" s="17" t="s">
        <v>76</v>
      </c>
      <c r="AJ52" s="17" t="s">
        <v>76</v>
      </c>
      <c r="AK52" s="25"/>
      <c r="AL52" s="17"/>
      <c r="AM52" s="17"/>
      <c r="AN52" s="18"/>
      <c r="AO52" s="18"/>
    </row>
    <row r="53" spans="1:41" ht="36.75" customHeight="1" x14ac:dyDescent="0.25">
      <c r="A53" s="10">
        <v>51</v>
      </c>
      <c r="B53" s="90" t="s">
        <v>172</v>
      </c>
      <c r="C53" s="89">
        <v>45125</v>
      </c>
      <c r="D53" s="13">
        <f t="shared" ca="1" si="8"/>
        <v>13</v>
      </c>
      <c r="E53" s="89">
        <v>45138</v>
      </c>
      <c r="F53" s="27" t="s">
        <v>367</v>
      </c>
      <c r="G53" s="27" t="s">
        <v>375</v>
      </c>
      <c r="H53" s="27" t="s">
        <v>368</v>
      </c>
      <c r="I53" s="17" t="s">
        <v>42</v>
      </c>
      <c r="J53" s="17">
        <v>64</v>
      </c>
      <c r="K53" s="38" t="s">
        <v>376</v>
      </c>
      <c r="L53" s="60" t="s">
        <v>361</v>
      </c>
      <c r="M53" s="13" t="s">
        <v>142</v>
      </c>
      <c r="N53" s="89">
        <v>21466</v>
      </c>
      <c r="O53" s="17">
        <v>202300153482</v>
      </c>
      <c r="P53" s="17" t="s">
        <v>259</v>
      </c>
      <c r="Q53" s="29" t="s">
        <v>260</v>
      </c>
      <c r="R53" s="29" t="s">
        <v>373</v>
      </c>
      <c r="S53" s="17" t="s">
        <v>64</v>
      </c>
      <c r="T53" s="17" t="s">
        <v>48</v>
      </c>
      <c r="U53" s="13" t="s">
        <v>66</v>
      </c>
      <c r="V53" s="17">
        <v>956616064</v>
      </c>
      <c r="W53" s="17" t="s">
        <v>50</v>
      </c>
      <c r="X53" s="17" t="s">
        <v>51</v>
      </c>
      <c r="Y53" s="17" t="s">
        <v>51</v>
      </c>
      <c r="Z53" s="17" t="s">
        <v>51</v>
      </c>
      <c r="AA53" s="17" t="s">
        <v>51</v>
      </c>
      <c r="AB53" s="17" t="s">
        <v>51</v>
      </c>
      <c r="AC53" s="17" t="s">
        <v>51</v>
      </c>
      <c r="AD53" s="29" t="s">
        <v>51</v>
      </c>
      <c r="AE53" s="17" t="s">
        <v>54</v>
      </c>
      <c r="AF53" s="17" t="s">
        <v>54</v>
      </c>
      <c r="AG53" s="17" t="s">
        <v>76</v>
      </c>
      <c r="AH53" s="17" t="s">
        <v>108</v>
      </c>
      <c r="AI53" s="17" t="s">
        <v>76</v>
      </c>
      <c r="AJ53" s="17" t="s">
        <v>76</v>
      </c>
      <c r="AK53" s="89">
        <v>45138</v>
      </c>
      <c r="AL53" s="17" t="s">
        <v>185</v>
      </c>
      <c r="AM53" s="17" t="s">
        <v>374</v>
      </c>
      <c r="AN53" s="18"/>
      <c r="AO53" s="18"/>
    </row>
    <row r="54" spans="1:41" ht="45.75" customHeight="1" x14ac:dyDescent="0.25">
      <c r="A54" s="10">
        <v>52</v>
      </c>
      <c r="B54" s="90" t="s">
        <v>172</v>
      </c>
      <c r="C54" s="89">
        <v>45127</v>
      </c>
      <c r="D54" s="17">
        <f>DAYS360(C54,E54)</f>
        <v>8</v>
      </c>
      <c r="E54" s="89">
        <v>45135</v>
      </c>
      <c r="F54" s="27" t="s">
        <v>377</v>
      </c>
      <c r="G54" s="27" t="s">
        <v>378</v>
      </c>
      <c r="H54" s="27" t="s">
        <v>155</v>
      </c>
      <c r="I54" s="17" t="s">
        <v>59</v>
      </c>
      <c r="J54" s="17">
        <v>17</v>
      </c>
      <c r="K54" s="38" t="s">
        <v>379</v>
      </c>
      <c r="L54" s="13" t="s">
        <v>51</v>
      </c>
      <c r="M54" s="13" t="s">
        <v>173</v>
      </c>
      <c r="N54" s="89">
        <v>38619</v>
      </c>
      <c r="O54" s="17">
        <v>20190129668</v>
      </c>
      <c r="P54" s="17" t="s">
        <v>73</v>
      </c>
      <c r="Q54" s="29" t="s">
        <v>385</v>
      </c>
      <c r="R54" s="29" t="s">
        <v>386</v>
      </c>
      <c r="S54" s="17" t="s">
        <v>64</v>
      </c>
      <c r="T54" s="17" t="s">
        <v>48</v>
      </c>
      <c r="U54" s="13" t="s">
        <v>66</v>
      </c>
      <c r="V54" s="17">
        <v>932223803</v>
      </c>
      <c r="W54" s="17" t="s">
        <v>50</v>
      </c>
      <c r="X54" s="17" t="s">
        <v>51</v>
      </c>
      <c r="Y54" s="17" t="s">
        <v>51</v>
      </c>
      <c r="Z54" s="17" t="s">
        <v>51</v>
      </c>
      <c r="AA54" s="17" t="s">
        <v>51</v>
      </c>
      <c r="AB54" s="17" t="s">
        <v>54</v>
      </c>
      <c r="AC54" s="17" t="s">
        <v>51</v>
      </c>
      <c r="AD54" s="29" t="s">
        <v>51</v>
      </c>
      <c r="AE54" s="17" t="s">
        <v>54</v>
      </c>
      <c r="AF54" s="17" t="s">
        <v>54</v>
      </c>
      <c r="AG54" s="17" t="s">
        <v>54</v>
      </c>
      <c r="AH54" s="17" t="s">
        <v>51</v>
      </c>
      <c r="AI54" s="17" t="s">
        <v>76</v>
      </c>
      <c r="AJ54" s="17" t="s">
        <v>76</v>
      </c>
      <c r="AK54" s="89">
        <v>45135</v>
      </c>
      <c r="AL54" s="17" t="s">
        <v>185</v>
      </c>
      <c r="AM54" s="29" t="s">
        <v>428</v>
      </c>
      <c r="AN54" s="18"/>
      <c r="AO54" s="18"/>
    </row>
    <row r="55" spans="1:41" ht="46.5" customHeight="1" x14ac:dyDescent="0.25">
      <c r="A55" s="10">
        <v>53</v>
      </c>
      <c r="B55" s="90" t="s">
        <v>172</v>
      </c>
      <c r="C55" s="89">
        <v>45127</v>
      </c>
      <c r="D55" s="17">
        <v>7</v>
      </c>
      <c r="E55" s="89">
        <v>45134</v>
      </c>
      <c r="F55" s="27" t="s">
        <v>56</v>
      </c>
      <c r="G55" s="27" t="s">
        <v>188</v>
      </c>
      <c r="H55" s="27" t="s">
        <v>380</v>
      </c>
      <c r="I55" s="17" t="s">
        <v>59</v>
      </c>
      <c r="J55" s="17">
        <v>76</v>
      </c>
      <c r="K55" s="28" t="s">
        <v>383</v>
      </c>
      <c r="L55" s="13" t="s">
        <v>361</v>
      </c>
      <c r="M55" s="13" t="s">
        <v>142</v>
      </c>
      <c r="N55" s="89">
        <v>17162</v>
      </c>
      <c r="O55" s="17">
        <v>202300153443</v>
      </c>
      <c r="P55" s="17" t="s">
        <v>259</v>
      </c>
      <c r="Q55" s="29" t="s">
        <v>147</v>
      </c>
      <c r="R55" s="29" t="s">
        <v>386</v>
      </c>
      <c r="S55" s="17" t="s">
        <v>64</v>
      </c>
      <c r="T55" s="17" t="s">
        <v>48</v>
      </c>
      <c r="U55" s="13" t="s">
        <v>66</v>
      </c>
      <c r="V55" s="17">
        <v>9975300889</v>
      </c>
      <c r="W55" s="17" t="s">
        <v>50</v>
      </c>
      <c r="X55" s="17" t="s">
        <v>51</v>
      </c>
      <c r="Y55" s="17" t="s">
        <v>51</v>
      </c>
      <c r="Z55" s="17" t="s">
        <v>51</v>
      </c>
      <c r="AA55" s="17" t="s">
        <v>51</v>
      </c>
      <c r="AB55" s="17" t="s">
        <v>51</v>
      </c>
      <c r="AC55" s="17" t="s">
        <v>51</v>
      </c>
      <c r="AD55" s="29" t="s">
        <v>51</v>
      </c>
      <c r="AE55" s="17" t="s">
        <v>54</v>
      </c>
      <c r="AF55" s="17" t="s">
        <v>54</v>
      </c>
      <c r="AG55" s="17" t="s">
        <v>76</v>
      </c>
      <c r="AH55" s="17" t="s">
        <v>55</v>
      </c>
      <c r="AI55" s="17" t="s">
        <v>76</v>
      </c>
      <c r="AJ55" s="17" t="s">
        <v>76</v>
      </c>
      <c r="AK55" s="89">
        <v>45134</v>
      </c>
      <c r="AL55" s="17" t="s">
        <v>185</v>
      </c>
      <c r="AM55" s="29" t="s">
        <v>421</v>
      </c>
      <c r="AN55" s="18"/>
      <c r="AO55" s="18"/>
    </row>
    <row r="56" spans="1:41" ht="42" customHeight="1" x14ac:dyDescent="0.25">
      <c r="A56" s="10">
        <v>54</v>
      </c>
      <c r="B56" s="11" t="s">
        <v>38</v>
      </c>
      <c r="C56" s="89">
        <v>45127</v>
      </c>
      <c r="D56" s="17">
        <f t="shared" ca="1" si="8"/>
        <v>11</v>
      </c>
      <c r="E56" s="17"/>
      <c r="F56" s="27" t="s">
        <v>85</v>
      </c>
      <c r="G56" s="27" t="s">
        <v>381</v>
      </c>
      <c r="H56" s="27" t="s">
        <v>382</v>
      </c>
      <c r="I56" s="17" t="s">
        <v>59</v>
      </c>
      <c r="J56" s="17">
        <v>86</v>
      </c>
      <c r="K56" s="38" t="s">
        <v>384</v>
      </c>
      <c r="L56" s="13" t="s">
        <v>361</v>
      </c>
      <c r="M56" s="13" t="s">
        <v>142</v>
      </c>
      <c r="N56" s="89">
        <v>13435</v>
      </c>
      <c r="O56" s="17">
        <v>2009059945</v>
      </c>
      <c r="P56" s="17" t="s">
        <v>89</v>
      </c>
      <c r="Q56" s="29" t="s">
        <v>90</v>
      </c>
      <c r="R56" s="29" t="s">
        <v>387</v>
      </c>
      <c r="S56" s="17">
        <v>340</v>
      </c>
      <c r="T56" s="17" t="s">
        <v>48</v>
      </c>
      <c r="U56" s="13" t="s">
        <v>49</v>
      </c>
      <c r="V56" s="17">
        <v>987320732</v>
      </c>
      <c r="W56" s="17" t="s">
        <v>50</v>
      </c>
      <c r="X56" s="17" t="s">
        <v>52</v>
      </c>
      <c r="Y56" s="17" t="s">
        <v>51</v>
      </c>
      <c r="Z56" s="17" t="s">
        <v>51</v>
      </c>
      <c r="AA56" s="17" t="s">
        <v>51</v>
      </c>
      <c r="AB56" s="17" t="s">
        <v>51</v>
      </c>
      <c r="AC56" s="17" t="s">
        <v>51</v>
      </c>
      <c r="AD56" s="29" t="s">
        <v>51</v>
      </c>
      <c r="AE56" s="17" t="s">
        <v>54</v>
      </c>
      <c r="AF56" s="17" t="s">
        <v>54</v>
      </c>
      <c r="AG56" s="17" t="s">
        <v>76</v>
      </c>
      <c r="AH56" s="17" t="s">
        <v>51</v>
      </c>
      <c r="AI56" s="17" t="s">
        <v>76</v>
      </c>
      <c r="AJ56" s="17" t="s">
        <v>76</v>
      </c>
      <c r="AK56" s="17"/>
      <c r="AL56" s="17"/>
      <c r="AM56" s="17"/>
      <c r="AN56" s="18"/>
      <c r="AO56" s="18"/>
    </row>
    <row r="57" spans="1:41" ht="57.75" customHeight="1" x14ac:dyDescent="0.25">
      <c r="A57" s="10">
        <v>55</v>
      </c>
      <c r="B57" s="11" t="s">
        <v>38</v>
      </c>
      <c r="C57" s="89">
        <v>45128</v>
      </c>
      <c r="D57" s="17">
        <f t="shared" ca="1" si="8"/>
        <v>10</v>
      </c>
      <c r="E57" s="17"/>
      <c r="F57" s="92" t="s">
        <v>389</v>
      </c>
      <c r="G57" s="92" t="s">
        <v>390</v>
      </c>
      <c r="H57" s="92" t="s">
        <v>391</v>
      </c>
      <c r="I57" s="17" t="s">
        <v>59</v>
      </c>
      <c r="J57" s="17">
        <v>66</v>
      </c>
      <c r="K57" s="38" t="s">
        <v>394</v>
      </c>
      <c r="L57" s="13" t="s">
        <v>361</v>
      </c>
      <c r="M57" s="13" t="s">
        <v>142</v>
      </c>
      <c r="N57" s="89">
        <v>20696</v>
      </c>
      <c r="O57" s="17">
        <v>202300150498</v>
      </c>
      <c r="P57" s="17" t="s">
        <v>45</v>
      </c>
      <c r="Q57" s="29" t="s">
        <v>397</v>
      </c>
      <c r="R57" s="29" t="s">
        <v>399</v>
      </c>
      <c r="S57" s="17">
        <v>1</v>
      </c>
      <c r="T57" s="17" t="s">
        <v>402</v>
      </c>
      <c r="U57" s="13" t="s">
        <v>49</v>
      </c>
      <c r="V57" s="17">
        <v>993173805</v>
      </c>
      <c r="W57" s="17" t="s">
        <v>50</v>
      </c>
      <c r="X57" s="17" t="s">
        <v>51</v>
      </c>
      <c r="Y57" s="17" t="s">
        <v>51</v>
      </c>
      <c r="Z57" s="17" t="s">
        <v>51</v>
      </c>
      <c r="AA57" s="17" t="s">
        <v>53</v>
      </c>
      <c r="AB57" s="17" t="s">
        <v>51</v>
      </c>
      <c r="AC57" s="17" t="s">
        <v>51</v>
      </c>
      <c r="AD57" s="29" t="s">
        <v>51</v>
      </c>
      <c r="AE57" s="17" t="s">
        <v>54</v>
      </c>
      <c r="AF57" s="17" t="s">
        <v>54</v>
      </c>
      <c r="AG57" s="17" t="s">
        <v>76</v>
      </c>
      <c r="AH57" s="17" t="s">
        <v>51</v>
      </c>
      <c r="AI57" s="17" t="s">
        <v>76</v>
      </c>
      <c r="AJ57" s="17" t="s">
        <v>76</v>
      </c>
      <c r="AK57" s="17"/>
      <c r="AL57" s="17"/>
      <c r="AM57" s="17"/>
      <c r="AN57" s="18"/>
      <c r="AO57" s="18"/>
    </row>
    <row r="58" spans="1:41" ht="47.25" customHeight="1" x14ac:dyDescent="0.25">
      <c r="A58" s="10">
        <v>56</v>
      </c>
      <c r="B58" s="11" t="s">
        <v>38</v>
      </c>
      <c r="C58" s="89">
        <v>45129</v>
      </c>
      <c r="D58" s="17">
        <f t="shared" ca="1" si="8"/>
        <v>9</v>
      </c>
      <c r="E58" s="17"/>
      <c r="F58" s="92" t="s">
        <v>392</v>
      </c>
      <c r="G58" s="92" t="s">
        <v>188</v>
      </c>
      <c r="H58" s="92" t="s">
        <v>393</v>
      </c>
      <c r="I58" s="17" t="s">
        <v>59</v>
      </c>
      <c r="J58" s="17">
        <v>56</v>
      </c>
      <c r="K58" s="38" t="s">
        <v>395</v>
      </c>
      <c r="L58" s="13" t="s">
        <v>361</v>
      </c>
      <c r="M58" s="13" t="s">
        <v>142</v>
      </c>
      <c r="N58" s="89">
        <v>24630</v>
      </c>
      <c r="O58" s="17">
        <v>2013078624</v>
      </c>
      <c r="P58" s="17" t="s">
        <v>89</v>
      </c>
      <c r="Q58" s="29" t="s">
        <v>90</v>
      </c>
      <c r="R58" s="29" t="s">
        <v>400</v>
      </c>
      <c r="S58" s="17" t="s">
        <v>64</v>
      </c>
      <c r="T58" s="17" t="s">
        <v>48</v>
      </c>
      <c r="U58" s="13" t="s">
        <v>66</v>
      </c>
      <c r="V58" s="17">
        <v>996659376</v>
      </c>
      <c r="W58" s="17" t="s">
        <v>50</v>
      </c>
      <c r="X58" s="17" t="s">
        <v>52</v>
      </c>
      <c r="Y58" s="17" t="s">
        <v>51</v>
      </c>
      <c r="Z58" s="17" t="s">
        <v>51</v>
      </c>
      <c r="AA58" s="17" t="s">
        <v>51</v>
      </c>
      <c r="AB58" s="17" t="s">
        <v>51</v>
      </c>
      <c r="AC58" s="17" t="s">
        <v>51</v>
      </c>
      <c r="AD58" s="29" t="s">
        <v>51</v>
      </c>
      <c r="AE58" s="17" t="s">
        <v>54</v>
      </c>
      <c r="AF58" s="17" t="s">
        <v>54</v>
      </c>
      <c r="AG58" s="17" t="s">
        <v>76</v>
      </c>
      <c r="AH58" s="17" t="s">
        <v>51</v>
      </c>
      <c r="AI58" s="17" t="s">
        <v>76</v>
      </c>
      <c r="AJ58" s="17" t="s">
        <v>76</v>
      </c>
      <c r="AK58" s="17"/>
      <c r="AL58" s="17"/>
      <c r="AM58" s="17"/>
      <c r="AN58" s="18"/>
      <c r="AO58" s="18"/>
    </row>
    <row r="59" spans="1:41" ht="51.75" customHeight="1" x14ac:dyDescent="0.25">
      <c r="A59" s="10">
        <v>57</v>
      </c>
      <c r="B59" s="11" t="s">
        <v>38</v>
      </c>
      <c r="C59" s="89">
        <v>45129</v>
      </c>
      <c r="D59" s="17">
        <f t="shared" ca="1" si="8"/>
        <v>9</v>
      </c>
      <c r="E59" s="17"/>
      <c r="F59" s="92" t="s">
        <v>85</v>
      </c>
      <c r="G59" s="92" t="s">
        <v>207</v>
      </c>
      <c r="H59" s="92" t="s">
        <v>150</v>
      </c>
      <c r="I59" s="17" t="s">
        <v>59</v>
      </c>
      <c r="J59" s="17">
        <v>81</v>
      </c>
      <c r="K59" s="38" t="s">
        <v>396</v>
      </c>
      <c r="L59" s="13" t="s">
        <v>72</v>
      </c>
      <c r="M59" s="13" t="s">
        <v>142</v>
      </c>
      <c r="N59" s="89">
        <v>15629</v>
      </c>
      <c r="O59" s="17" t="s">
        <v>403</v>
      </c>
      <c r="P59" s="17" t="s">
        <v>89</v>
      </c>
      <c r="Q59" s="93" t="s">
        <v>398</v>
      </c>
      <c r="R59" s="29" t="s">
        <v>401</v>
      </c>
      <c r="S59" s="17" t="s">
        <v>64</v>
      </c>
      <c r="T59" s="13" t="s">
        <v>100</v>
      </c>
      <c r="U59" s="13" t="s">
        <v>66</v>
      </c>
      <c r="V59" s="17">
        <v>993576865</v>
      </c>
      <c r="W59" s="17" t="s">
        <v>50</v>
      </c>
      <c r="X59" s="17" t="s">
        <v>51</v>
      </c>
      <c r="Y59" s="17" t="s">
        <v>51</v>
      </c>
      <c r="Z59" s="17" t="s">
        <v>51</v>
      </c>
      <c r="AA59" s="17" t="s">
        <v>51</v>
      </c>
      <c r="AB59" s="17" t="s">
        <v>51</v>
      </c>
      <c r="AC59" s="17" t="s">
        <v>51</v>
      </c>
      <c r="AD59" s="29" t="s">
        <v>51</v>
      </c>
      <c r="AE59" s="17" t="s">
        <v>54</v>
      </c>
      <c r="AF59" s="17" t="s">
        <v>54</v>
      </c>
      <c r="AG59" s="17" t="s">
        <v>76</v>
      </c>
      <c r="AH59" s="17" t="s">
        <v>55</v>
      </c>
      <c r="AI59" s="17" t="s">
        <v>54</v>
      </c>
      <c r="AJ59" s="17" t="s">
        <v>76</v>
      </c>
      <c r="AK59" s="17"/>
      <c r="AL59" s="17"/>
      <c r="AM59" s="17"/>
      <c r="AN59" s="18"/>
      <c r="AO59" s="18"/>
    </row>
    <row r="60" spans="1:41" ht="54.75" customHeight="1" x14ac:dyDescent="0.25">
      <c r="A60" s="10">
        <v>58</v>
      </c>
      <c r="B60" s="11" t="s">
        <v>38</v>
      </c>
      <c r="C60" s="89">
        <v>45131</v>
      </c>
      <c r="D60" s="17">
        <f t="shared" ca="1" si="8"/>
        <v>7</v>
      </c>
      <c r="E60" s="17"/>
      <c r="F60" s="27" t="s">
        <v>404</v>
      </c>
      <c r="G60" s="27" t="s">
        <v>405</v>
      </c>
      <c r="H60" s="27" t="s">
        <v>406</v>
      </c>
      <c r="I60" s="17" t="s">
        <v>42</v>
      </c>
      <c r="J60" s="17">
        <v>91</v>
      </c>
      <c r="K60" s="38" t="s">
        <v>407</v>
      </c>
      <c r="L60" s="13" t="s">
        <v>72</v>
      </c>
      <c r="M60" s="13" t="s">
        <v>142</v>
      </c>
      <c r="N60" s="89">
        <v>11865</v>
      </c>
      <c r="O60" s="17">
        <v>200636356</v>
      </c>
      <c r="P60" s="17" t="s">
        <v>73</v>
      </c>
      <c r="Q60" s="29" t="s">
        <v>408</v>
      </c>
      <c r="R60" s="29" t="s">
        <v>409</v>
      </c>
      <c r="S60" s="17" t="s">
        <v>64</v>
      </c>
      <c r="T60" s="17" t="s">
        <v>48</v>
      </c>
      <c r="U60" s="13" t="s">
        <v>66</v>
      </c>
      <c r="V60" s="17">
        <v>962110439</v>
      </c>
      <c r="W60" s="17" t="s">
        <v>50</v>
      </c>
      <c r="X60" s="17" t="s">
        <v>52</v>
      </c>
      <c r="Y60" s="17" t="s">
        <v>51</v>
      </c>
      <c r="Z60" s="17" t="s">
        <v>51</v>
      </c>
      <c r="AA60" s="17" t="s">
        <v>51</v>
      </c>
      <c r="AB60" s="17" t="s">
        <v>51</v>
      </c>
      <c r="AC60" s="17" t="s">
        <v>51</v>
      </c>
      <c r="AD60" s="29" t="s">
        <v>51</v>
      </c>
      <c r="AE60" s="17" t="s">
        <v>54</v>
      </c>
      <c r="AF60" s="17" t="s">
        <v>54</v>
      </c>
      <c r="AG60" s="17" t="s">
        <v>76</v>
      </c>
      <c r="AH60" s="17" t="s">
        <v>51</v>
      </c>
      <c r="AI60" s="17" t="s">
        <v>54</v>
      </c>
      <c r="AJ60" s="17" t="s">
        <v>76</v>
      </c>
      <c r="AK60" s="17"/>
      <c r="AL60" s="17"/>
      <c r="AM60" s="17"/>
      <c r="AN60" s="18"/>
      <c r="AO60" s="18"/>
    </row>
    <row r="61" spans="1:41" ht="48" customHeight="1" x14ac:dyDescent="0.25">
      <c r="A61" s="10">
        <v>59</v>
      </c>
      <c r="B61" s="11" t="s">
        <v>38</v>
      </c>
      <c r="C61" s="89">
        <v>45133</v>
      </c>
      <c r="D61" s="17">
        <f t="shared" ca="1" si="8"/>
        <v>5</v>
      </c>
      <c r="E61" s="17"/>
      <c r="F61" s="27" t="s">
        <v>416</v>
      </c>
      <c r="G61" s="27" t="s">
        <v>417</v>
      </c>
      <c r="H61" s="27" t="s">
        <v>418</v>
      </c>
      <c r="I61" s="17" t="s">
        <v>42</v>
      </c>
      <c r="J61" s="17">
        <v>96</v>
      </c>
      <c r="K61" s="38" t="s">
        <v>415</v>
      </c>
      <c r="L61" s="60" t="s">
        <v>72</v>
      </c>
      <c r="M61" s="13" t="s">
        <v>142</v>
      </c>
      <c r="N61" s="89">
        <v>9807</v>
      </c>
      <c r="O61" s="17">
        <v>200634425</v>
      </c>
      <c r="P61" s="17" t="s">
        <v>89</v>
      </c>
      <c r="Q61" s="29" t="s">
        <v>419</v>
      </c>
      <c r="R61" s="29" t="s">
        <v>420</v>
      </c>
      <c r="S61" s="17" t="s">
        <v>64</v>
      </c>
      <c r="T61" s="17" t="s">
        <v>48</v>
      </c>
      <c r="U61" s="13" t="s">
        <v>66</v>
      </c>
      <c r="V61" s="17">
        <v>973731714</v>
      </c>
      <c r="W61" s="17" t="s">
        <v>50</v>
      </c>
      <c r="X61" s="17" t="s">
        <v>52</v>
      </c>
      <c r="Y61" s="17" t="s">
        <v>51</v>
      </c>
      <c r="Z61" s="17" t="s">
        <v>51</v>
      </c>
      <c r="AA61" s="17" t="s">
        <v>51</v>
      </c>
      <c r="AB61" s="17" t="s">
        <v>51</v>
      </c>
      <c r="AC61" s="17" t="s">
        <v>51</v>
      </c>
      <c r="AD61" s="29" t="s">
        <v>51</v>
      </c>
      <c r="AE61" s="17" t="s">
        <v>54</v>
      </c>
      <c r="AF61" s="17" t="s">
        <v>54</v>
      </c>
      <c r="AG61" s="17" t="s">
        <v>54</v>
      </c>
      <c r="AH61" s="17" t="s">
        <v>51</v>
      </c>
      <c r="AI61" s="17" t="s">
        <v>51</v>
      </c>
      <c r="AJ61" s="17" t="s">
        <v>76</v>
      </c>
      <c r="AK61" s="17"/>
      <c r="AL61" s="17"/>
      <c r="AM61" s="17"/>
      <c r="AN61" s="18"/>
      <c r="AO61" s="18"/>
    </row>
    <row r="62" spans="1:41" ht="48" customHeight="1" x14ac:dyDescent="0.25">
      <c r="A62" s="10">
        <v>60</v>
      </c>
      <c r="B62" s="11" t="s">
        <v>38</v>
      </c>
      <c r="C62" s="89">
        <v>45134</v>
      </c>
      <c r="D62" s="17">
        <f t="shared" ca="1" si="8"/>
        <v>4</v>
      </c>
      <c r="E62" s="17"/>
      <c r="F62" s="27" t="s">
        <v>422</v>
      </c>
      <c r="G62" s="27" t="s">
        <v>423</v>
      </c>
      <c r="H62" s="27" t="s">
        <v>424</v>
      </c>
      <c r="I62" s="17" t="s">
        <v>42</v>
      </c>
      <c r="J62" s="17">
        <v>87</v>
      </c>
      <c r="K62" s="38" t="s">
        <v>425</v>
      </c>
      <c r="L62" s="60"/>
      <c r="M62" s="13" t="s">
        <v>142</v>
      </c>
      <c r="N62" s="89">
        <v>13335</v>
      </c>
      <c r="O62" s="17">
        <v>20190127782</v>
      </c>
      <c r="P62" s="17" t="s">
        <v>89</v>
      </c>
      <c r="Q62" s="29" t="s">
        <v>74</v>
      </c>
      <c r="R62" s="29" t="s">
        <v>426</v>
      </c>
      <c r="S62" s="17">
        <v>973</v>
      </c>
      <c r="T62" s="17" t="s">
        <v>48</v>
      </c>
      <c r="U62" s="13" t="s">
        <v>49</v>
      </c>
      <c r="V62" s="17">
        <v>422411785</v>
      </c>
      <c r="W62" s="17" t="s">
        <v>50</v>
      </c>
      <c r="X62" s="17" t="s">
        <v>52</v>
      </c>
      <c r="Y62" s="17" t="s">
        <v>51</v>
      </c>
      <c r="Z62" s="17" t="s">
        <v>51</v>
      </c>
      <c r="AA62" s="17" t="s">
        <v>51</v>
      </c>
      <c r="AB62" s="17" t="s">
        <v>54</v>
      </c>
      <c r="AC62" s="17" t="s">
        <v>51</v>
      </c>
      <c r="AD62" s="29" t="s">
        <v>51</v>
      </c>
      <c r="AE62" s="17" t="s">
        <v>54</v>
      </c>
      <c r="AF62" s="17" t="s">
        <v>54</v>
      </c>
      <c r="AG62" s="17" t="s">
        <v>54</v>
      </c>
      <c r="AH62" s="17" t="s">
        <v>51</v>
      </c>
      <c r="AI62" s="17" t="s">
        <v>51</v>
      </c>
      <c r="AJ62" s="17" t="s">
        <v>76</v>
      </c>
      <c r="AK62" s="17"/>
      <c r="AL62" s="17"/>
      <c r="AM62" s="17"/>
      <c r="AN62" s="18"/>
      <c r="AO62" s="18"/>
    </row>
    <row r="63" spans="1:41" ht="49.5" customHeight="1" x14ac:dyDescent="0.25">
      <c r="A63" s="10">
        <v>61</v>
      </c>
      <c r="B63" s="11" t="s">
        <v>38</v>
      </c>
      <c r="C63" s="89">
        <v>45136</v>
      </c>
      <c r="D63" s="17">
        <f t="shared" ca="1" si="8"/>
        <v>2</v>
      </c>
      <c r="E63" s="17"/>
      <c r="F63" s="27" t="s">
        <v>435</v>
      </c>
      <c r="G63" s="27" t="s">
        <v>430</v>
      </c>
      <c r="H63" s="27" t="s">
        <v>431</v>
      </c>
      <c r="I63" s="17" t="s">
        <v>42</v>
      </c>
      <c r="J63" s="17">
        <v>58</v>
      </c>
      <c r="K63" s="38" t="s">
        <v>433</v>
      </c>
      <c r="L63" s="60"/>
      <c r="M63" s="13" t="s">
        <v>177</v>
      </c>
      <c r="N63" s="89">
        <v>23637</v>
      </c>
      <c r="O63" s="17">
        <v>2003019225</v>
      </c>
      <c r="P63" s="17" t="s">
        <v>259</v>
      </c>
      <c r="Q63" s="29" t="s">
        <v>432</v>
      </c>
      <c r="R63" s="29" t="s">
        <v>434</v>
      </c>
      <c r="S63" s="17">
        <v>1125</v>
      </c>
      <c r="T63" s="17" t="s">
        <v>48</v>
      </c>
      <c r="U63" s="13" t="s">
        <v>49</v>
      </c>
      <c r="V63" s="17">
        <v>994119412</v>
      </c>
      <c r="W63" s="17" t="s">
        <v>50</v>
      </c>
      <c r="X63" s="17" t="s">
        <v>51</v>
      </c>
      <c r="Y63" s="17" t="s">
        <v>51</v>
      </c>
      <c r="Z63" s="17" t="s">
        <v>51</v>
      </c>
      <c r="AA63" s="17" t="s">
        <v>51</v>
      </c>
      <c r="AB63" s="17" t="s">
        <v>54</v>
      </c>
      <c r="AC63" s="17" t="s">
        <v>51</v>
      </c>
      <c r="AD63" s="29" t="s">
        <v>51</v>
      </c>
      <c r="AE63" s="17" t="s">
        <v>54</v>
      </c>
      <c r="AF63" s="17" t="s">
        <v>54</v>
      </c>
      <c r="AG63" s="17" t="s">
        <v>54</v>
      </c>
      <c r="AH63" s="17" t="s">
        <v>93</v>
      </c>
      <c r="AI63" s="17" t="s">
        <v>54</v>
      </c>
      <c r="AJ63" s="17" t="s">
        <v>51</v>
      </c>
      <c r="AK63" s="17"/>
      <c r="AL63" s="17"/>
      <c r="AM63" s="17"/>
      <c r="AN63" s="18"/>
      <c r="AO63" s="18"/>
    </row>
    <row r="64" spans="1:41" ht="48" customHeight="1" x14ac:dyDescent="0.25">
      <c r="A64" s="10">
        <v>62</v>
      </c>
      <c r="B64" s="11" t="s">
        <v>38</v>
      </c>
      <c r="C64" s="89">
        <v>45138</v>
      </c>
      <c r="D64" s="17">
        <f t="shared" ca="1" si="8"/>
        <v>0</v>
      </c>
      <c r="E64" s="17"/>
      <c r="F64" s="27" t="s">
        <v>436</v>
      </c>
      <c r="G64" s="27" t="s">
        <v>439</v>
      </c>
      <c r="H64" s="27" t="s">
        <v>248</v>
      </c>
      <c r="I64" s="17" t="s">
        <v>42</v>
      </c>
      <c r="J64" s="17">
        <v>53</v>
      </c>
      <c r="K64" s="38" t="s">
        <v>440</v>
      </c>
      <c r="L64" s="60"/>
      <c r="M64" s="13" t="s">
        <v>173</v>
      </c>
      <c r="N64" s="89">
        <v>25655</v>
      </c>
      <c r="O64" s="17" t="s">
        <v>449</v>
      </c>
      <c r="P64" s="17" t="s">
        <v>89</v>
      </c>
      <c r="Q64" s="29" t="s">
        <v>443</v>
      </c>
      <c r="R64" s="29" t="s">
        <v>446</v>
      </c>
      <c r="S64" s="17">
        <v>523</v>
      </c>
      <c r="T64" s="17" t="s">
        <v>48</v>
      </c>
      <c r="U64" s="13" t="s">
        <v>49</v>
      </c>
      <c r="V64" s="17">
        <v>974036821</v>
      </c>
      <c r="W64" s="17" t="s">
        <v>50</v>
      </c>
      <c r="X64" s="17" t="s">
        <v>52</v>
      </c>
      <c r="Y64" s="17" t="s">
        <v>51</v>
      </c>
      <c r="Z64" s="17" t="s">
        <v>51</v>
      </c>
      <c r="AA64" s="17" t="s">
        <v>51</v>
      </c>
      <c r="AB64" s="17" t="s">
        <v>54</v>
      </c>
      <c r="AC64" s="17" t="s">
        <v>51</v>
      </c>
      <c r="AD64" s="29" t="s">
        <v>51</v>
      </c>
      <c r="AE64" s="17" t="s">
        <v>54</v>
      </c>
      <c r="AF64" s="17" t="s">
        <v>54</v>
      </c>
      <c r="AG64" s="17" t="s">
        <v>54</v>
      </c>
      <c r="AH64" s="17" t="s">
        <v>51</v>
      </c>
      <c r="AI64" s="17" t="s">
        <v>51</v>
      </c>
      <c r="AJ64" s="17" t="s">
        <v>51</v>
      </c>
      <c r="AK64" s="17"/>
      <c r="AL64" s="17"/>
      <c r="AM64" s="17"/>
      <c r="AN64" s="18"/>
      <c r="AO64" s="18"/>
    </row>
    <row r="65" spans="1:41" ht="45.75" customHeight="1" x14ac:dyDescent="0.25">
      <c r="A65" s="10">
        <v>63</v>
      </c>
      <c r="B65" s="11" t="s">
        <v>38</v>
      </c>
      <c r="C65" s="89">
        <v>45138</v>
      </c>
      <c r="D65" s="17">
        <f t="shared" ca="1" si="8"/>
        <v>0</v>
      </c>
      <c r="E65" s="17"/>
      <c r="F65" s="27" t="s">
        <v>56</v>
      </c>
      <c r="G65" s="27" t="s">
        <v>438</v>
      </c>
      <c r="H65" s="27" t="s">
        <v>438</v>
      </c>
      <c r="I65" s="17" t="s">
        <v>59</v>
      </c>
      <c r="J65" s="17">
        <v>74</v>
      </c>
      <c r="K65" s="38" t="s">
        <v>441</v>
      </c>
      <c r="L65" s="60"/>
      <c r="M65" s="13" t="s">
        <v>142</v>
      </c>
      <c r="N65" s="89">
        <v>17853</v>
      </c>
      <c r="O65" s="17">
        <v>99000552</v>
      </c>
      <c r="P65" s="17" t="s">
        <v>61</v>
      </c>
      <c r="Q65" s="29" t="s">
        <v>444</v>
      </c>
      <c r="R65" s="29" t="s">
        <v>447</v>
      </c>
      <c r="S65" s="17" t="s">
        <v>64</v>
      </c>
      <c r="T65" s="13" t="s">
        <v>100</v>
      </c>
      <c r="U65" s="13" t="s">
        <v>66</v>
      </c>
      <c r="V65" s="17">
        <v>978641594</v>
      </c>
      <c r="W65" s="17" t="s">
        <v>50</v>
      </c>
      <c r="X65" s="17" t="s">
        <v>51</v>
      </c>
      <c r="Y65" s="17" t="s">
        <v>51</v>
      </c>
      <c r="Z65" s="17" t="s">
        <v>51</v>
      </c>
      <c r="AA65" s="17" t="s">
        <v>51</v>
      </c>
      <c r="AB65" s="17" t="s">
        <v>76</v>
      </c>
      <c r="AC65" s="17" t="s">
        <v>51</v>
      </c>
      <c r="AD65" s="29" t="s">
        <v>51</v>
      </c>
      <c r="AE65" s="17" t="s">
        <v>54</v>
      </c>
      <c r="AF65" s="17" t="s">
        <v>54</v>
      </c>
      <c r="AG65" s="17" t="s">
        <v>51</v>
      </c>
      <c r="AH65" s="17" t="s">
        <v>51</v>
      </c>
      <c r="AI65" s="17" t="s">
        <v>51</v>
      </c>
      <c r="AJ65" s="17" t="s">
        <v>51</v>
      </c>
      <c r="AK65" s="17"/>
      <c r="AL65" s="17"/>
      <c r="AM65" s="17"/>
      <c r="AN65" s="18"/>
      <c r="AO65" s="18"/>
    </row>
    <row r="66" spans="1:41" ht="43.5" customHeight="1" x14ac:dyDescent="0.25">
      <c r="A66" s="10">
        <v>64</v>
      </c>
      <c r="B66" s="11" t="s">
        <v>38</v>
      </c>
      <c r="C66" s="89">
        <v>45138</v>
      </c>
      <c r="D66" s="17">
        <f t="shared" ca="1" si="8"/>
        <v>0</v>
      </c>
      <c r="E66" s="17"/>
      <c r="F66" s="27" t="s">
        <v>85</v>
      </c>
      <c r="G66" s="27" t="s">
        <v>437</v>
      </c>
      <c r="H66" s="27" t="s">
        <v>207</v>
      </c>
      <c r="I66" s="17" t="s">
        <v>59</v>
      </c>
      <c r="J66" s="17">
        <v>85</v>
      </c>
      <c r="K66" s="38" t="s">
        <v>442</v>
      </c>
      <c r="L66" s="60"/>
      <c r="M66" s="13" t="s">
        <v>142</v>
      </c>
      <c r="N66" s="89">
        <v>13940</v>
      </c>
      <c r="O66" s="17">
        <v>99004803</v>
      </c>
      <c r="P66" s="17" t="s">
        <v>45</v>
      </c>
      <c r="Q66" s="29" t="s">
        <v>445</v>
      </c>
      <c r="R66" s="29" t="s">
        <v>448</v>
      </c>
      <c r="S66" s="17">
        <v>533</v>
      </c>
      <c r="T66" s="17" t="s">
        <v>48</v>
      </c>
      <c r="U66" s="13" t="s">
        <v>49</v>
      </c>
      <c r="V66" s="17">
        <v>948080703</v>
      </c>
      <c r="W66" s="17" t="s">
        <v>50</v>
      </c>
      <c r="X66" s="17" t="s">
        <v>51</v>
      </c>
      <c r="Y66" s="17" t="s">
        <v>51</v>
      </c>
      <c r="Z66" s="17" t="s">
        <v>51</v>
      </c>
      <c r="AA66" s="17" t="s">
        <v>51</v>
      </c>
      <c r="AB66" s="17" t="s">
        <v>76</v>
      </c>
      <c r="AC66" s="17" t="s">
        <v>51</v>
      </c>
      <c r="AD66" s="29" t="s">
        <v>51</v>
      </c>
      <c r="AE66" s="17" t="s">
        <v>54</v>
      </c>
      <c r="AF66" s="17" t="s">
        <v>54</v>
      </c>
      <c r="AG66" s="17" t="s">
        <v>51</v>
      </c>
      <c r="AH66" s="17" t="s">
        <v>51</v>
      </c>
      <c r="AI66" s="17" t="s">
        <v>51</v>
      </c>
      <c r="AJ66" s="17" t="s">
        <v>51</v>
      </c>
      <c r="AK66" s="17"/>
      <c r="AL66" s="17"/>
      <c r="AM66" s="17"/>
      <c r="AN66" s="18"/>
      <c r="AO66" s="18"/>
    </row>
    <row r="67" spans="1:41" ht="42.75" customHeight="1" x14ac:dyDescent="0.25">
      <c r="A67" s="10">
        <v>65</v>
      </c>
      <c r="B67" s="11"/>
      <c r="C67" s="17"/>
      <c r="D67" s="17"/>
      <c r="E67" s="17"/>
      <c r="F67" s="27"/>
      <c r="G67" s="27"/>
      <c r="H67" s="27"/>
      <c r="I67" s="17"/>
      <c r="J67" s="17"/>
      <c r="K67" s="38"/>
      <c r="L67" s="60"/>
      <c r="M67" s="13"/>
      <c r="N67" s="17"/>
      <c r="O67" s="17"/>
      <c r="P67" s="17"/>
      <c r="Q67" s="29"/>
      <c r="R67" s="29"/>
      <c r="S67" s="17"/>
      <c r="T67" s="17"/>
      <c r="U67" s="13"/>
      <c r="V67" s="17"/>
      <c r="W67" s="17"/>
      <c r="X67" s="17"/>
      <c r="Y67" s="17"/>
      <c r="Z67" s="17"/>
      <c r="AA67" s="17"/>
      <c r="AB67" s="17"/>
      <c r="AC67" s="17"/>
      <c r="AD67" s="29"/>
      <c r="AE67" s="17"/>
      <c r="AF67" s="17"/>
      <c r="AG67" s="17"/>
      <c r="AH67" s="17"/>
      <c r="AI67" s="17"/>
      <c r="AJ67" s="17"/>
      <c r="AK67" s="17"/>
      <c r="AL67" s="17"/>
      <c r="AM67" s="17"/>
      <c r="AN67" s="18"/>
      <c r="AO67" s="18"/>
    </row>
    <row r="68" spans="1:41" ht="42.75" customHeight="1" x14ac:dyDescent="0.25">
      <c r="A68" s="10">
        <v>66</v>
      </c>
      <c r="B68" s="11"/>
      <c r="C68" s="17"/>
      <c r="D68" s="17"/>
      <c r="E68" s="17"/>
      <c r="F68" s="27"/>
      <c r="G68" s="27"/>
      <c r="H68" s="27"/>
      <c r="I68" s="17"/>
      <c r="J68" s="17"/>
      <c r="K68" s="38"/>
      <c r="L68" s="60"/>
      <c r="M68" s="13"/>
      <c r="N68" s="17"/>
      <c r="O68" s="17"/>
      <c r="P68" s="17"/>
      <c r="Q68" s="29"/>
      <c r="R68" s="29"/>
      <c r="S68" s="17"/>
      <c r="T68" s="17"/>
      <c r="U68" s="13"/>
      <c r="V68" s="17"/>
      <c r="W68" s="17"/>
      <c r="X68" s="17"/>
      <c r="Y68" s="17"/>
      <c r="Z68" s="17"/>
      <c r="AA68" s="17"/>
      <c r="AB68" s="17"/>
      <c r="AC68" s="17"/>
      <c r="AD68" s="29"/>
      <c r="AE68" s="17"/>
      <c r="AF68" s="17"/>
      <c r="AG68" s="17"/>
      <c r="AH68" s="17"/>
      <c r="AI68" s="17"/>
      <c r="AJ68" s="17"/>
      <c r="AK68" s="17"/>
      <c r="AL68" s="17"/>
      <c r="AM68" s="17"/>
      <c r="AN68" s="18"/>
      <c r="AO68" s="18"/>
    </row>
    <row r="69" spans="1:41" ht="42" customHeight="1" x14ac:dyDescent="0.25">
      <c r="A69" s="10">
        <v>67</v>
      </c>
      <c r="B69" s="11"/>
      <c r="C69" s="17"/>
      <c r="D69" s="17"/>
      <c r="E69" s="17"/>
      <c r="F69" s="27"/>
      <c r="G69" s="27"/>
      <c r="H69" s="27"/>
      <c r="I69" s="17"/>
      <c r="J69" s="17"/>
      <c r="K69" s="38"/>
      <c r="L69" s="60"/>
      <c r="M69" s="13"/>
      <c r="N69" s="17"/>
      <c r="O69" s="17"/>
      <c r="P69" s="17"/>
      <c r="Q69" s="29"/>
      <c r="R69" s="29"/>
      <c r="S69" s="17"/>
      <c r="T69" s="17"/>
      <c r="U69" s="13"/>
      <c r="V69" s="17"/>
      <c r="W69" s="17"/>
      <c r="X69" s="17"/>
      <c r="Y69" s="17"/>
      <c r="Z69" s="17"/>
      <c r="AA69" s="17"/>
      <c r="AB69" s="17"/>
      <c r="AC69" s="17"/>
      <c r="AD69" s="29"/>
      <c r="AE69" s="17"/>
      <c r="AF69" s="17"/>
      <c r="AG69" s="17"/>
      <c r="AH69" s="17"/>
      <c r="AI69" s="17"/>
      <c r="AJ69" s="17"/>
      <c r="AK69" s="17"/>
      <c r="AL69" s="17"/>
      <c r="AM69" s="17"/>
      <c r="AN69" s="18"/>
      <c r="AO69" s="18"/>
    </row>
    <row r="70" spans="1:41" ht="44.25" customHeight="1" x14ac:dyDescent="0.25">
      <c r="A70" s="10">
        <v>68</v>
      </c>
      <c r="B70" s="11"/>
      <c r="C70" s="17"/>
      <c r="D70" s="17"/>
      <c r="E70" s="17"/>
      <c r="F70" s="27"/>
      <c r="G70" s="27"/>
      <c r="H70" s="27"/>
      <c r="I70" s="17"/>
      <c r="J70" s="17"/>
      <c r="K70" s="38"/>
      <c r="L70" s="60"/>
      <c r="M70" s="13"/>
      <c r="N70" s="17"/>
      <c r="O70" s="17"/>
      <c r="P70" s="17"/>
      <c r="Q70" s="29"/>
      <c r="R70" s="29"/>
      <c r="S70" s="17"/>
      <c r="T70" s="17"/>
      <c r="U70" s="13"/>
      <c r="V70" s="17"/>
      <c r="W70" s="17"/>
      <c r="X70" s="17"/>
      <c r="Y70" s="17"/>
      <c r="Z70" s="17"/>
      <c r="AA70" s="17"/>
      <c r="AB70" s="17"/>
      <c r="AC70" s="17"/>
      <c r="AD70" s="29"/>
      <c r="AE70" s="17"/>
      <c r="AF70" s="17"/>
      <c r="AG70" s="17"/>
      <c r="AH70" s="17"/>
      <c r="AI70" s="17"/>
      <c r="AJ70" s="17"/>
      <c r="AK70" s="17"/>
      <c r="AL70" s="17"/>
      <c r="AM70" s="17"/>
      <c r="AN70" s="18"/>
      <c r="AO70" s="18"/>
    </row>
    <row r="71" spans="1:41" ht="45" customHeight="1" x14ac:dyDescent="0.25">
      <c r="A71" s="10">
        <v>69</v>
      </c>
      <c r="B71" s="11"/>
      <c r="C71" s="17"/>
      <c r="D71" s="17"/>
      <c r="E71" s="17"/>
      <c r="F71" s="27"/>
      <c r="G71" s="27"/>
      <c r="H71" s="27"/>
      <c r="I71" s="17"/>
      <c r="J71" s="17"/>
      <c r="K71" s="38"/>
      <c r="L71" s="60"/>
      <c r="M71" s="13"/>
      <c r="N71" s="17"/>
      <c r="O71" s="17"/>
      <c r="P71" s="17"/>
      <c r="Q71" s="29"/>
      <c r="R71" s="29"/>
      <c r="S71" s="17"/>
      <c r="T71" s="17"/>
      <c r="U71" s="13"/>
      <c r="V71" s="17"/>
      <c r="W71" s="17"/>
      <c r="X71" s="17"/>
      <c r="Y71" s="17"/>
      <c r="Z71" s="17"/>
      <c r="AA71" s="17"/>
      <c r="AB71" s="17"/>
      <c r="AC71" s="17"/>
      <c r="AD71" s="29"/>
      <c r="AE71" s="17"/>
      <c r="AF71" s="17"/>
      <c r="AG71" s="17"/>
      <c r="AH71" s="17"/>
      <c r="AI71" s="17"/>
      <c r="AJ71" s="17"/>
      <c r="AK71" s="17"/>
      <c r="AL71" s="17"/>
      <c r="AM71" s="17"/>
      <c r="AN71" s="18"/>
      <c r="AO71" s="18"/>
    </row>
    <row r="72" spans="1:41" ht="47.25" customHeight="1" x14ac:dyDescent="0.25">
      <c r="A72" s="10">
        <v>70</v>
      </c>
      <c r="B72" s="11"/>
      <c r="C72" s="17"/>
      <c r="D72" s="17"/>
      <c r="E72" s="17"/>
      <c r="F72" s="27"/>
      <c r="G72" s="27"/>
      <c r="H72" s="27"/>
      <c r="I72" s="17"/>
      <c r="J72" s="17"/>
      <c r="K72" s="38"/>
      <c r="L72" s="60"/>
      <c r="M72" s="13"/>
      <c r="N72" s="17"/>
      <c r="O72" s="17"/>
      <c r="P72" s="17"/>
      <c r="Q72" s="29"/>
      <c r="R72" s="29"/>
      <c r="S72" s="17"/>
      <c r="T72" s="17"/>
      <c r="U72" s="13"/>
      <c r="V72" s="17"/>
      <c r="W72" s="17"/>
      <c r="X72" s="17"/>
      <c r="Y72" s="17"/>
      <c r="Z72" s="17"/>
      <c r="AA72" s="17"/>
      <c r="AB72" s="17"/>
      <c r="AC72" s="17"/>
      <c r="AD72" s="29"/>
      <c r="AE72" s="17"/>
      <c r="AF72" s="17"/>
      <c r="AG72" s="17"/>
      <c r="AH72" s="17"/>
      <c r="AI72" s="17"/>
      <c r="AJ72" s="17"/>
      <c r="AK72" s="17"/>
      <c r="AL72" s="17"/>
      <c r="AM72" s="17"/>
      <c r="AN72" s="18"/>
      <c r="AO72" s="18"/>
    </row>
    <row r="73" spans="1:41" ht="40.5" customHeight="1" x14ac:dyDescent="0.25">
      <c r="A73" s="10">
        <v>71</v>
      </c>
      <c r="B73" s="11"/>
      <c r="C73" s="17"/>
      <c r="D73" s="17"/>
      <c r="E73" s="17"/>
      <c r="F73" s="27"/>
      <c r="G73" s="27"/>
      <c r="H73" s="27"/>
      <c r="I73" s="17"/>
      <c r="J73" s="17"/>
      <c r="K73" s="38"/>
      <c r="L73" s="60"/>
      <c r="M73" s="13"/>
      <c r="N73" s="17"/>
      <c r="O73" s="17"/>
      <c r="P73" s="17"/>
      <c r="Q73" s="29"/>
      <c r="R73" s="29"/>
      <c r="S73" s="17"/>
      <c r="T73" s="17"/>
      <c r="U73" s="13"/>
      <c r="V73" s="17"/>
      <c r="W73" s="17"/>
      <c r="X73" s="17"/>
      <c r="Y73" s="17"/>
      <c r="Z73" s="17"/>
      <c r="AA73" s="17"/>
      <c r="AB73" s="17"/>
      <c r="AC73" s="17"/>
      <c r="AD73" s="29"/>
      <c r="AE73" s="17"/>
      <c r="AF73" s="17"/>
      <c r="AG73" s="17"/>
      <c r="AH73" s="17"/>
      <c r="AI73" s="17"/>
      <c r="AJ73" s="17"/>
      <c r="AK73" s="17"/>
      <c r="AL73" s="17"/>
      <c r="AM73" s="17"/>
      <c r="AN73" s="18"/>
      <c r="AO73" s="18"/>
    </row>
    <row r="74" spans="1:41" ht="40.5" customHeight="1" x14ac:dyDescent="0.25">
      <c r="A74" s="10">
        <v>72</v>
      </c>
      <c r="B74" s="11"/>
      <c r="C74" s="17"/>
      <c r="D74" s="17"/>
      <c r="E74" s="17"/>
      <c r="F74" s="27"/>
      <c r="G74" s="27"/>
      <c r="H74" s="27"/>
      <c r="I74" s="17"/>
      <c r="J74" s="17"/>
      <c r="K74" s="38"/>
      <c r="L74" s="60"/>
      <c r="M74" s="13"/>
      <c r="N74" s="17"/>
      <c r="O74" s="17"/>
      <c r="P74" s="17"/>
      <c r="Q74" s="29"/>
      <c r="R74" s="29"/>
      <c r="S74" s="17"/>
      <c r="T74" s="17"/>
      <c r="U74" s="13"/>
      <c r="V74" s="17"/>
      <c r="W74" s="17"/>
      <c r="X74" s="17"/>
      <c r="Y74" s="17"/>
      <c r="Z74" s="17"/>
      <c r="AA74" s="17"/>
      <c r="AB74" s="17"/>
      <c r="AC74" s="17"/>
      <c r="AD74" s="29"/>
      <c r="AE74" s="17"/>
      <c r="AF74" s="17"/>
      <c r="AG74" s="17"/>
      <c r="AH74" s="17"/>
      <c r="AI74" s="17"/>
      <c r="AJ74" s="17"/>
      <c r="AK74" s="17"/>
      <c r="AL74" s="17"/>
      <c r="AM74" s="17"/>
      <c r="AN74" s="18"/>
      <c r="AO74" s="18"/>
    </row>
    <row r="75" spans="1:41" ht="39" customHeight="1" x14ac:dyDescent="0.25">
      <c r="A75" s="10">
        <v>73</v>
      </c>
      <c r="B75" s="11"/>
      <c r="C75" s="17"/>
      <c r="D75" s="17"/>
      <c r="E75" s="17"/>
      <c r="F75" s="27"/>
      <c r="G75" s="27"/>
      <c r="H75" s="27"/>
      <c r="I75" s="17"/>
      <c r="J75" s="17"/>
      <c r="K75" s="38"/>
      <c r="L75" s="60"/>
      <c r="M75" s="13"/>
      <c r="N75" s="17"/>
      <c r="O75" s="17"/>
      <c r="P75" s="17"/>
      <c r="Q75" s="29"/>
      <c r="R75" s="29"/>
      <c r="S75" s="17"/>
      <c r="T75" s="17"/>
      <c r="U75" s="13"/>
      <c r="V75" s="17"/>
      <c r="W75" s="17"/>
      <c r="X75" s="17"/>
      <c r="Y75" s="17"/>
      <c r="Z75" s="17"/>
      <c r="AA75" s="17"/>
      <c r="AB75" s="17"/>
      <c r="AC75" s="17"/>
      <c r="AD75" s="29"/>
      <c r="AE75" s="17"/>
      <c r="AF75" s="17"/>
      <c r="AG75" s="17"/>
      <c r="AH75" s="17"/>
      <c r="AI75" s="17"/>
      <c r="AJ75" s="17"/>
      <c r="AK75" s="17"/>
      <c r="AL75" s="17"/>
      <c r="AM75" s="17"/>
      <c r="AN75" s="18"/>
      <c r="AO75" s="18"/>
    </row>
    <row r="76" spans="1:41" ht="39" customHeight="1" x14ac:dyDescent="0.25">
      <c r="A76" s="10">
        <v>74</v>
      </c>
      <c r="B76" s="11"/>
      <c r="C76" s="17"/>
      <c r="D76" s="17"/>
      <c r="E76" s="17"/>
      <c r="F76" s="27"/>
      <c r="G76" s="27"/>
      <c r="H76" s="27"/>
      <c r="I76" s="17"/>
      <c r="J76" s="17"/>
      <c r="K76" s="38"/>
      <c r="L76" s="60"/>
      <c r="M76" s="13"/>
      <c r="N76" s="17"/>
      <c r="O76" s="17"/>
      <c r="P76" s="17"/>
      <c r="Q76" s="29"/>
      <c r="R76" s="29"/>
      <c r="S76" s="17"/>
      <c r="T76" s="17"/>
      <c r="U76" s="13"/>
      <c r="V76" s="17"/>
      <c r="W76" s="17"/>
      <c r="X76" s="17"/>
      <c r="Y76" s="17"/>
      <c r="Z76" s="17"/>
      <c r="AA76" s="17"/>
      <c r="AB76" s="17"/>
      <c r="AC76" s="17"/>
      <c r="AD76" s="29"/>
      <c r="AE76" s="17"/>
      <c r="AF76" s="17"/>
      <c r="AG76" s="17"/>
      <c r="AH76" s="17"/>
      <c r="AI76" s="17"/>
      <c r="AJ76" s="17"/>
      <c r="AK76" s="17"/>
      <c r="AL76" s="17"/>
      <c r="AM76" s="17"/>
      <c r="AN76" s="18"/>
      <c r="AO76" s="18"/>
    </row>
    <row r="77" spans="1:41" ht="41.25" customHeight="1" x14ac:dyDescent="0.25">
      <c r="A77" s="10">
        <v>75</v>
      </c>
      <c r="B77" s="11"/>
      <c r="C77" s="17"/>
      <c r="D77" s="17"/>
      <c r="E77" s="17"/>
      <c r="F77" s="27"/>
      <c r="G77" s="27"/>
      <c r="H77" s="27"/>
      <c r="I77" s="17"/>
      <c r="J77" s="17"/>
      <c r="K77" s="38"/>
      <c r="L77" s="60"/>
      <c r="M77" s="13"/>
      <c r="N77" s="17"/>
      <c r="O77" s="17"/>
      <c r="P77" s="17"/>
      <c r="Q77" s="29"/>
      <c r="R77" s="29"/>
      <c r="S77" s="17"/>
      <c r="T77" s="17"/>
      <c r="U77" s="13"/>
      <c r="V77" s="17"/>
      <c r="W77" s="17"/>
      <c r="X77" s="17"/>
      <c r="Y77" s="17"/>
      <c r="Z77" s="17"/>
      <c r="AA77" s="17"/>
      <c r="AB77" s="17"/>
      <c r="AC77" s="17"/>
      <c r="AD77" s="29"/>
      <c r="AE77" s="17"/>
      <c r="AF77" s="17"/>
      <c r="AG77" s="17"/>
      <c r="AH77" s="17"/>
      <c r="AI77" s="17"/>
      <c r="AJ77" s="17"/>
      <c r="AK77" s="17"/>
      <c r="AL77" s="17"/>
      <c r="AM77" s="17"/>
      <c r="AN77" s="18"/>
      <c r="AO77" s="18"/>
    </row>
    <row r="78" spans="1:41" ht="39.75" customHeight="1" x14ac:dyDescent="0.25">
      <c r="A78" s="10">
        <v>76</v>
      </c>
      <c r="B78" s="11"/>
      <c r="C78" s="17"/>
      <c r="D78" s="17"/>
      <c r="E78" s="17"/>
      <c r="F78" s="27"/>
      <c r="G78" s="27"/>
      <c r="H78" s="27"/>
      <c r="I78" s="17"/>
      <c r="J78" s="17"/>
      <c r="K78" s="38"/>
      <c r="L78" s="60"/>
      <c r="M78" s="13"/>
      <c r="N78" s="17"/>
      <c r="O78" s="17"/>
      <c r="P78" s="17"/>
      <c r="Q78" s="29"/>
      <c r="R78" s="29"/>
      <c r="S78" s="17"/>
      <c r="T78" s="17"/>
      <c r="U78" s="13"/>
      <c r="V78" s="17"/>
      <c r="W78" s="17"/>
      <c r="X78" s="17"/>
      <c r="Y78" s="17"/>
      <c r="Z78" s="17"/>
      <c r="AA78" s="17"/>
      <c r="AB78" s="17"/>
      <c r="AC78" s="17"/>
      <c r="AD78" s="29"/>
      <c r="AE78" s="17"/>
      <c r="AF78" s="17"/>
      <c r="AG78" s="17"/>
      <c r="AH78" s="17"/>
      <c r="AI78" s="17"/>
      <c r="AJ78" s="17"/>
      <c r="AK78" s="17"/>
      <c r="AL78" s="17"/>
      <c r="AM78" s="17"/>
      <c r="AN78" s="18"/>
      <c r="AO78" s="18"/>
    </row>
    <row r="79" spans="1:41" ht="35.25" customHeight="1" x14ac:dyDescent="0.25">
      <c r="A79" s="10">
        <v>77</v>
      </c>
      <c r="B79" s="11"/>
      <c r="C79" s="17"/>
      <c r="D79" s="17"/>
      <c r="E79" s="17"/>
      <c r="F79" s="27"/>
      <c r="G79" s="27"/>
      <c r="H79" s="27"/>
      <c r="I79" s="17"/>
      <c r="J79" s="17"/>
      <c r="K79" s="38"/>
      <c r="L79" s="60"/>
      <c r="M79" s="13"/>
      <c r="N79" s="17"/>
      <c r="O79" s="17"/>
      <c r="P79" s="17"/>
      <c r="Q79" s="29"/>
      <c r="R79" s="29"/>
      <c r="S79" s="17"/>
      <c r="T79" s="17"/>
      <c r="U79" s="13"/>
      <c r="V79" s="17"/>
      <c r="W79" s="17"/>
      <c r="X79" s="17"/>
      <c r="Y79" s="17"/>
      <c r="Z79" s="17"/>
      <c r="AA79" s="17"/>
      <c r="AB79" s="17"/>
      <c r="AC79" s="17"/>
      <c r="AD79" s="29"/>
      <c r="AE79" s="17"/>
      <c r="AF79" s="17"/>
      <c r="AG79" s="17"/>
      <c r="AH79" s="17"/>
      <c r="AI79" s="17"/>
      <c r="AJ79" s="17"/>
      <c r="AK79" s="17"/>
      <c r="AL79" s="17"/>
      <c r="AM79" s="17"/>
      <c r="AN79" s="18"/>
      <c r="AO79" s="18"/>
    </row>
    <row r="80" spans="1:41" ht="39" customHeight="1" x14ac:dyDescent="0.25">
      <c r="A80" s="10">
        <v>78</v>
      </c>
      <c r="B80" s="11"/>
      <c r="C80" s="17"/>
      <c r="D80" s="17"/>
      <c r="E80" s="17"/>
      <c r="F80" s="27"/>
      <c r="G80" s="27"/>
      <c r="H80" s="27"/>
      <c r="I80" s="17"/>
      <c r="J80" s="17"/>
      <c r="K80" s="38"/>
      <c r="L80" s="60"/>
      <c r="M80" s="13"/>
      <c r="N80" s="17"/>
      <c r="O80" s="17"/>
      <c r="P80" s="17"/>
      <c r="Q80" s="29"/>
      <c r="R80" s="29"/>
      <c r="S80" s="17"/>
      <c r="T80" s="17"/>
      <c r="U80" s="13"/>
      <c r="V80" s="17"/>
      <c r="W80" s="17"/>
      <c r="X80" s="17"/>
      <c r="Y80" s="17"/>
      <c r="Z80" s="17"/>
      <c r="AA80" s="17"/>
      <c r="AB80" s="17"/>
      <c r="AC80" s="17"/>
      <c r="AD80" s="29"/>
      <c r="AE80" s="17"/>
      <c r="AF80" s="17"/>
      <c r="AG80" s="17"/>
      <c r="AH80" s="17"/>
      <c r="AI80" s="17"/>
      <c r="AJ80" s="17"/>
      <c r="AK80" s="17"/>
      <c r="AL80" s="17"/>
      <c r="AM80" s="17"/>
      <c r="AN80" s="18"/>
      <c r="AO80" s="18"/>
    </row>
    <row r="81" spans="1:41" ht="37.5" customHeight="1" x14ac:dyDescent="0.25">
      <c r="A81" s="10">
        <v>79</v>
      </c>
      <c r="B81" s="11"/>
      <c r="C81" s="17"/>
      <c r="D81" s="17"/>
      <c r="E81" s="17"/>
      <c r="F81" s="27"/>
      <c r="G81" s="27"/>
      <c r="H81" s="27"/>
      <c r="I81" s="17"/>
      <c r="J81" s="17"/>
      <c r="K81" s="38"/>
      <c r="L81" s="60"/>
      <c r="M81" s="13"/>
      <c r="N81" s="17"/>
      <c r="O81" s="17"/>
      <c r="P81" s="17"/>
      <c r="Q81" s="29"/>
      <c r="R81" s="29"/>
      <c r="S81" s="17"/>
      <c r="T81" s="17"/>
      <c r="U81" s="13"/>
      <c r="V81" s="17"/>
      <c r="W81" s="17"/>
      <c r="X81" s="17"/>
      <c r="Y81" s="17"/>
      <c r="Z81" s="17"/>
      <c r="AA81" s="17"/>
      <c r="AB81" s="17"/>
      <c r="AC81" s="17"/>
      <c r="AD81" s="29"/>
      <c r="AE81" s="17"/>
      <c r="AF81" s="17"/>
      <c r="AG81" s="17"/>
      <c r="AH81" s="17"/>
      <c r="AI81" s="17"/>
      <c r="AJ81" s="17"/>
      <c r="AK81" s="17"/>
      <c r="AL81" s="17"/>
      <c r="AM81" s="17"/>
      <c r="AN81" s="18"/>
      <c r="AO81" s="18"/>
    </row>
    <row r="82" spans="1:41" ht="36.75" customHeight="1" x14ac:dyDescent="0.25">
      <c r="A82" s="10">
        <v>80</v>
      </c>
      <c r="B82" s="11"/>
      <c r="C82" s="17"/>
      <c r="D82" s="17"/>
      <c r="E82" s="17"/>
      <c r="F82" s="27"/>
      <c r="G82" s="27"/>
      <c r="H82" s="27"/>
      <c r="I82" s="17"/>
      <c r="J82" s="17"/>
      <c r="K82" s="38"/>
      <c r="L82" s="60"/>
      <c r="M82" s="13"/>
      <c r="N82" s="17"/>
      <c r="O82" s="17"/>
      <c r="P82" s="17"/>
      <c r="Q82" s="29"/>
      <c r="R82" s="29"/>
      <c r="S82" s="17"/>
      <c r="T82" s="17"/>
      <c r="U82" s="13"/>
      <c r="V82" s="17"/>
      <c r="W82" s="17"/>
      <c r="X82" s="17"/>
      <c r="Y82" s="17"/>
      <c r="Z82" s="17"/>
      <c r="AA82" s="17"/>
      <c r="AB82" s="17"/>
      <c r="AC82" s="17"/>
      <c r="AD82" s="29"/>
      <c r="AE82" s="17"/>
      <c r="AF82" s="17"/>
      <c r="AG82" s="17"/>
      <c r="AH82" s="17"/>
      <c r="AI82" s="17"/>
      <c r="AJ82" s="17"/>
      <c r="AK82" s="17"/>
      <c r="AL82" s="17"/>
      <c r="AM82" s="17"/>
      <c r="AN82" s="18"/>
      <c r="AO82" s="18"/>
    </row>
    <row r="83" spans="1:41" ht="37.5" customHeight="1" x14ac:dyDescent="0.25">
      <c r="A83" s="10">
        <v>81</v>
      </c>
      <c r="B83" s="11"/>
      <c r="C83" s="17"/>
      <c r="D83" s="17"/>
      <c r="E83" s="17"/>
      <c r="F83" s="27"/>
      <c r="G83" s="27"/>
      <c r="H83" s="27"/>
      <c r="I83" s="17"/>
      <c r="J83" s="17"/>
      <c r="K83" s="38"/>
      <c r="L83" s="60"/>
      <c r="M83" s="13"/>
      <c r="N83" s="17"/>
      <c r="O83" s="17"/>
      <c r="P83" s="17"/>
      <c r="Q83" s="29"/>
      <c r="R83" s="29"/>
      <c r="S83" s="17"/>
      <c r="T83" s="17"/>
      <c r="U83" s="13"/>
      <c r="V83" s="17"/>
      <c r="W83" s="17"/>
      <c r="X83" s="17"/>
      <c r="Y83" s="17"/>
      <c r="Z83" s="17"/>
      <c r="AA83" s="17"/>
      <c r="AB83" s="17"/>
      <c r="AC83" s="17"/>
      <c r="AD83" s="29"/>
      <c r="AE83" s="17"/>
      <c r="AF83" s="17"/>
      <c r="AG83" s="17"/>
      <c r="AH83" s="17"/>
      <c r="AI83" s="17"/>
      <c r="AJ83" s="17"/>
      <c r="AK83" s="17"/>
      <c r="AL83" s="17"/>
      <c r="AM83" s="17"/>
      <c r="AN83" s="18"/>
      <c r="AO83" s="18"/>
    </row>
    <row r="84" spans="1:41" ht="38.25" customHeight="1" x14ac:dyDescent="0.25">
      <c r="A84" s="10">
        <v>82</v>
      </c>
      <c r="B84" s="11"/>
      <c r="C84" s="17"/>
      <c r="D84" s="17"/>
      <c r="E84" s="17"/>
      <c r="F84" s="27"/>
      <c r="G84" s="27"/>
      <c r="H84" s="27"/>
      <c r="I84" s="17"/>
      <c r="J84" s="17"/>
      <c r="K84" s="38"/>
      <c r="L84" s="60"/>
      <c r="M84" s="13"/>
      <c r="N84" s="17"/>
      <c r="O84" s="17"/>
      <c r="P84" s="17"/>
      <c r="Q84" s="29"/>
      <c r="R84" s="29"/>
      <c r="S84" s="17"/>
      <c r="T84" s="17"/>
      <c r="U84" s="13"/>
      <c r="V84" s="17"/>
      <c r="W84" s="17"/>
      <c r="X84" s="17"/>
      <c r="Y84" s="17"/>
      <c r="Z84" s="17"/>
      <c r="AA84" s="17"/>
      <c r="AB84" s="17"/>
      <c r="AC84" s="17"/>
      <c r="AD84" s="29"/>
      <c r="AE84" s="17"/>
      <c r="AF84" s="17"/>
      <c r="AG84" s="17"/>
      <c r="AH84" s="17"/>
      <c r="AI84" s="17"/>
      <c r="AJ84" s="17"/>
      <c r="AK84" s="17"/>
      <c r="AL84" s="17"/>
      <c r="AM84" s="17"/>
      <c r="AN84" s="18"/>
      <c r="AO84" s="18"/>
    </row>
    <row r="85" spans="1:41" ht="37.5" customHeight="1" x14ac:dyDescent="0.25">
      <c r="A85" s="10">
        <v>83</v>
      </c>
      <c r="B85" s="11"/>
      <c r="C85" s="17"/>
      <c r="D85" s="17"/>
      <c r="E85" s="17"/>
      <c r="F85" s="27"/>
      <c r="G85" s="27"/>
      <c r="H85" s="27"/>
      <c r="I85" s="17"/>
      <c r="J85" s="17"/>
      <c r="K85" s="38"/>
      <c r="L85" s="60"/>
      <c r="M85" s="13"/>
      <c r="N85" s="17"/>
      <c r="O85" s="17"/>
      <c r="P85" s="17"/>
      <c r="Q85" s="29"/>
      <c r="R85" s="29"/>
      <c r="S85" s="17"/>
      <c r="T85" s="17"/>
      <c r="U85" s="13"/>
      <c r="V85" s="17"/>
      <c r="W85" s="17"/>
      <c r="X85" s="17"/>
      <c r="Y85" s="17"/>
      <c r="Z85" s="17"/>
      <c r="AA85" s="17"/>
      <c r="AB85" s="17"/>
      <c r="AC85" s="17"/>
      <c r="AD85" s="29"/>
      <c r="AE85" s="17"/>
      <c r="AF85" s="17"/>
      <c r="AG85" s="17"/>
      <c r="AH85" s="17"/>
      <c r="AI85" s="17"/>
      <c r="AJ85" s="17"/>
      <c r="AK85" s="17"/>
      <c r="AL85" s="17"/>
      <c r="AM85" s="17"/>
      <c r="AN85" s="18"/>
      <c r="AO85" s="18"/>
    </row>
    <row r="86" spans="1:41" ht="34.5" customHeight="1" x14ac:dyDescent="0.25">
      <c r="A86" s="10">
        <v>84</v>
      </c>
      <c r="B86" s="11"/>
      <c r="C86" s="17"/>
      <c r="D86" s="17"/>
      <c r="E86" s="17"/>
      <c r="F86" s="27"/>
      <c r="G86" s="27"/>
      <c r="H86" s="27"/>
      <c r="I86" s="17"/>
      <c r="J86" s="17"/>
      <c r="K86" s="38"/>
      <c r="L86" s="60"/>
      <c r="M86" s="13"/>
      <c r="N86" s="17"/>
      <c r="O86" s="17"/>
      <c r="P86" s="17"/>
      <c r="Q86" s="29"/>
      <c r="R86" s="29"/>
      <c r="S86" s="17"/>
      <c r="T86" s="17"/>
      <c r="U86" s="13"/>
      <c r="V86" s="17"/>
      <c r="W86" s="17"/>
      <c r="X86" s="17"/>
      <c r="Y86" s="17"/>
      <c r="Z86" s="17"/>
      <c r="AA86" s="17"/>
      <c r="AB86" s="17"/>
      <c r="AC86" s="17"/>
      <c r="AD86" s="29"/>
      <c r="AE86" s="17"/>
      <c r="AF86" s="17"/>
      <c r="AG86" s="17"/>
      <c r="AH86" s="17"/>
      <c r="AI86" s="17"/>
      <c r="AJ86" s="17"/>
      <c r="AK86" s="17"/>
      <c r="AL86" s="17"/>
      <c r="AM86" s="17"/>
      <c r="AN86" s="18"/>
      <c r="AO86" s="18"/>
    </row>
    <row r="87" spans="1:41" ht="33" customHeight="1" x14ac:dyDescent="0.25">
      <c r="A87" s="10">
        <v>85</v>
      </c>
      <c r="B87" s="11"/>
      <c r="C87" s="17"/>
      <c r="D87" s="17"/>
      <c r="E87" s="17"/>
      <c r="F87" s="27"/>
      <c r="G87" s="27"/>
      <c r="H87" s="27"/>
      <c r="I87" s="17"/>
      <c r="J87" s="17"/>
      <c r="K87" s="38"/>
      <c r="L87" s="60"/>
      <c r="M87" s="13"/>
      <c r="N87" s="17"/>
      <c r="O87" s="17"/>
      <c r="P87" s="17"/>
      <c r="Q87" s="29"/>
      <c r="R87" s="29"/>
      <c r="S87" s="17"/>
      <c r="T87" s="17"/>
      <c r="U87" s="13"/>
      <c r="V87" s="17"/>
      <c r="W87" s="17"/>
      <c r="X87" s="17"/>
      <c r="Y87" s="17"/>
      <c r="Z87" s="17"/>
      <c r="AA87" s="17"/>
      <c r="AB87" s="17"/>
      <c r="AC87" s="17"/>
      <c r="AD87" s="29"/>
      <c r="AE87" s="17"/>
      <c r="AF87" s="17"/>
      <c r="AG87" s="17"/>
      <c r="AH87" s="17"/>
      <c r="AI87" s="17"/>
      <c r="AJ87" s="17"/>
      <c r="AK87" s="17"/>
      <c r="AL87" s="17"/>
      <c r="AM87" s="17"/>
      <c r="AN87" s="18"/>
      <c r="AO87" s="18"/>
    </row>
    <row r="88" spans="1:41" ht="31.5" customHeight="1" x14ac:dyDescent="0.25">
      <c r="A88" s="10">
        <v>86</v>
      </c>
      <c r="B88" s="11"/>
      <c r="C88" s="17"/>
      <c r="D88" s="17"/>
      <c r="E88" s="17"/>
      <c r="F88" s="27"/>
      <c r="G88" s="27"/>
      <c r="H88" s="27"/>
      <c r="I88" s="17"/>
      <c r="J88" s="17"/>
      <c r="K88" s="38"/>
      <c r="L88" s="60"/>
      <c r="M88" s="13"/>
      <c r="N88" s="17"/>
      <c r="O88" s="17"/>
      <c r="P88" s="17"/>
      <c r="Q88" s="29"/>
      <c r="R88" s="29"/>
      <c r="S88" s="17"/>
      <c r="T88" s="17"/>
      <c r="U88" s="13"/>
      <c r="V88" s="17"/>
      <c r="W88" s="17"/>
      <c r="X88" s="17"/>
      <c r="Y88" s="17"/>
      <c r="Z88" s="17"/>
      <c r="AA88" s="17"/>
      <c r="AB88" s="17"/>
      <c r="AC88" s="17"/>
      <c r="AD88" s="29"/>
      <c r="AE88" s="17"/>
      <c r="AF88" s="17"/>
      <c r="AG88" s="17"/>
      <c r="AH88" s="17"/>
      <c r="AI88" s="17"/>
      <c r="AJ88" s="17"/>
      <c r="AK88" s="17"/>
      <c r="AL88" s="17"/>
      <c r="AM88" s="17"/>
      <c r="AN88" s="18"/>
      <c r="AO88" s="18"/>
    </row>
    <row r="89" spans="1:41" ht="27.75" customHeight="1" x14ac:dyDescent="0.25">
      <c r="A89" s="10">
        <v>87</v>
      </c>
      <c r="B89" s="11"/>
      <c r="C89" s="17"/>
      <c r="D89" s="17"/>
      <c r="E89" s="17"/>
      <c r="F89" s="27"/>
      <c r="G89" s="27"/>
      <c r="H89" s="27"/>
      <c r="I89" s="17"/>
      <c r="J89" s="17"/>
      <c r="K89" s="38"/>
      <c r="L89" s="60"/>
      <c r="M89" s="13"/>
      <c r="N89" s="17"/>
      <c r="O89" s="17"/>
      <c r="P89" s="17"/>
      <c r="Q89" s="29"/>
      <c r="R89" s="29"/>
      <c r="S89" s="17"/>
      <c r="T89" s="17"/>
      <c r="U89" s="13"/>
      <c r="V89" s="17"/>
      <c r="W89" s="17"/>
      <c r="X89" s="17"/>
      <c r="Y89" s="17"/>
      <c r="Z89" s="17"/>
      <c r="AA89" s="17"/>
      <c r="AB89" s="17"/>
      <c r="AC89" s="17"/>
      <c r="AD89" s="29"/>
      <c r="AE89" s="17"/>
      <c r="AF89" s="17"/>
      <c r="AG89" s="17"/>
      <c r="AH89" s="17"/>
      <c r="AI89" s="17"/>
      <c r="AJ89" s="17"/>
      <c r="AK89" s="17"/>
      <c r="AL89" s="17"/>
      <c r="AM89" s="17"/>
      <c r="AN89" s="18"/>
      <c r="AO89" s="18"/>
    </row>
    <row r="90" spans="1:41" ht="28.5" customHeight="1" x14ac:dyDescent="0.25">
      <c r="A90" s="10">
        <v>88</v>
      </c>
      <c r="B90" s="11"/>
      <c r="C90" s="17"/>
      <c r="D90" s="17"/>
      <c r="E90" s="17"/>
      <c r="F90" s="27"/>
      <c r="G90" s="27"/>
      <c r="H90" s="27"/>
      <c r="I90" s="17"/>
      <c r="J90" s="17"/>
      <c r="K90" s="38"/>
      <c r="L90" s="60"/>
      <c r="M90" s="13"/>
      <c r="N90" s="17"/>
      <c r="O90" s="17"/>
      <c r="P90" s="17"/>
      <c r="Q90" s="29"/>
      <c r="R90" s="29"/>
      <c r="S90" s="17"/>
      <c r="T90" s="17"/>
      <c r="U90" s="13"/>
      <c r="V90" s="17"/>
      <c r="W90" s="17"/>
      <c r="X90" s="17"/>
      <c r="Y90" s="17"/>
      <c r="Z90" s="17"/>
      <c r="AA90" s="17"/>
      <c r="AB90" s="17"/>
      <c r="AC90" s="17"/>
      <c r="AD90" s="29"/>
      <c r="AE90" s="17"/>
      <c r="AF90" s="17"/>
      <c r="AG90" s="17"/>
      <c r="AH90" s="17"/>
      <c r="AI90" s="17"/>
      <c r="AJ90" s="17"/>
      <c r="AK90" s="17"/>
      <c r="AL90" s="17"/>
      <c r="AM90" s="17"/>
      <c r="AN90" s="18"/>
      <c r="AO90" s="18"/>
    </row>
    <row r="91" spans="1:41" ht="37.5" customHeight="1" x14ac:dyDescent="0.25">
      <c r="A91" s="10">
        <v>89</v>
      </c>
      <c r="B91" s="11"/>
      <c r="C91" s="17"/>
      <c r="D91" s="17"/>
      <c r="E91" s="17"/>
      <c r="F91" s="27"/>
      <c r="G91" s="27"/>
      <c r="H91" s="27"/>
      <c r="I91" s="17"/>
      <c r="J91" s="17"/>
      <c r="K91" s="38"/>
      <c r="L91" s="60"/>
      <c r="M91" s="13"/>
      <c r="N91" s="17"/>
      <c r="O91" s="17"/>
      <c r="P91" s="17"/>
      <c r="Q91" s="29"/>
      <c r="R91" s="29"/>
      <c r="S91" s="17"/>
      <c r="T91" s="17"/>
      <c r="U91" s="13"/>
      <c r="V91" s="17"/>
      <c r="W91" s="17"/>
      <c r="X91" s="17"/>
      <c r="Y91" s="17"/>
      <c r="Z91" s="17"/>
      <c r="AA91" s="17"/>
      <c r="AB91" s="17"/>
      <c r="AC91" s="17"/>
      <c r="AD91" s="29"/>
      <c r="AE91" s="17"/>
      <c r="AF91" s="17"/>
      <c r="AG91" s="17"/>
      <c r="AH91" s="17"/>
      <c r="AI91" s="17"/>
      <c r="AJ91" s="17"/>
      <c r="AK91" s="17"/>
      <c r="AL91" s="17"/>
      <c r="AM91" s="17"/>
      <c r="AN91" s="18"/>
      <c r="AO91" s="18"/>
    </row>
    <row r="92" spans="1:41" ht="21.75" customHeight="1" x14ac:dyDescent="0.25">
      <c r="A92" s="10">
        <v>90</v>
      </c>
      <c r="B92" s="11"/>
      <c r="C92" s="17"/>
      <c r="D92" s="17"/>
      <c r="E92" s="17"/>
      <c r="F92" s="27"/>
      <c r="G92" s="27"/>
      <c r="H92" s="27"/>
      <c r="I92" s="17"/>
      <c r="J92" s="17"/>
      <c r="K92" s="38"/>
      <c r="L92" s="60"/>
      <c r="M92" s="13"/>
      <c r="N92" s="17"/>
      <c r="O92" s="17"/>
      <c r="P92" s="17"/>
      <c r="Q92" s="29"/>
      <c r="R92" s="29"/>
      <c r="S92" s="17"/>
      <c r="T92" s="17"/>
      <c r="U92" s="13"/>
      <c r="V92" s="17"/>
      <c r="W92" s="17"/>
      <c r="X92" s="17"/>
      <c r="Y92" s="17"/>
      <c r="Z92" s="17"/>
      <c r="AA92" s="17"/>
      <c r="AB92" s="17"/>
      <c r="AC92" s="17"/>
      <c r="AD92" s="29"/>
      <c r="AE92" s="17"/>
      <c r="AF92" s="17"/>
      <c r="AG92" s="17"/>
      <c r="AH92" s="17"/>
      <c r="AI92" s="17"/>
      <c r="AJ92" s="17"/>
      <c r="AK92" s="17"/>
      <c r="AL92" s="17"/>
      <c r="AM92" s="17"/>
      <c r="AN92" s="18"/>
      <c r="AO92" s="18"/>
    </row>
    <row r="93" spans="1:41" ht="30.75" customHeight="1" x14ac:dyDescent="0.25">
      <c r="A93" s="10">
        <v>91</v>
      </c>
      <c r="B93" s="11"/>
      <c r="C93" s="17"/>
      <c r="D93" s="17"/>
      <c r="E93" s="17"/>
      <c r="F93" s="27"/>
      <c r="G93" s="27"/>
      <c r="H93" s="27"/>
      <c r="I93" s="17"/>
      <c r="J93" s="17"/>
      <c r="K93" s="38"/>
      <c r="L93" s="60"/>
      <c r="M93" s="13"/>
      <c r="N93" s="17"/>
      <c r="O93" s="17"/>
      <c r="P93" s="17"/>
      <c r="Q93" s="29"/>
      <c r="R93" s="29"/>
      <c r="S93" s="17"/>
      <c r="T93" s="17"/>
      <c r="U93" s="13"/>
      <c r="V93" s="17"/>
      <c r="W93" s="17"/>
      <c r="X93" s="17"/>
      <c r="Y93" s="17"/>
      <c r="Z93" s="17"/>
      <c r="AA93" s="17"/>
      <c r="AB93" s="17"/>
      <c r="AC93" s="17"/>
      <c r="AD93" s="29"/>
      <c r="AE93" s="17"/>
      <c r="AF93" s="17"/>
      <c r="AG93" s="17"/>
      <c r="AH93" s="17"/>
      <c r="AI93" s="17"/>
      <c r="AJ93" s="17"/>
      <c r="AK93" s="17"/>
      <c r="AL93" s="17"/>
      <c r="AM93" s="17"/>
      <c r="AN93" s="18"/>
      <c r="AO93" s="18"/>
    </row>
    <row r="94" spans="1:41" ht="34.5" customHeight="1" x14ac:dyDescent="0.25">
      <c r="A94" s="10">
        <v>92</v>
      </c>
      <c r="B94" s="11"/>
      <c r="C94" s="17"/>
      <c r="D94" s="17"/>
      <c r="E94" s="17"/>
      <c r="F94" s="27"/>
      <c r="G94" s="27"/>
      <c r="H94" s="27"/>
      <c r="I94" s="17"/>
      <c r="J94" s="17"/>
      <c r="K94" s="38"/>
      <c r="L94" s="60"/>
      <c r="M94" s="13"/>
      <c r="N94" s="17"/>
      <c r="O94" s="17"/>
      <c r="P94" s="17"/>
      <c r="Q94" s="29"/>
      <c r="R94" s="29"/>
      <c r="S94" s="17"/>
      <c r="T94" s="17"/>
      <c r="U94" s="13"/>
      <c r="V94" s="17"/>
      <c r="W94" s="17"/>
      <c r="X94" s="17"/>
      <c r="Y94" s="17"/>
      <c r="Z94" s="17"/>
      <c r="AA94" s="17"/>
      <c r="AB94" s="17"/>
      <c r="AC94" s="17"/>
      <c r="AD94" s="29"/>
      <c r="AE94" s="17"/>
      <c r="AF94" s="17"/>
      <c r="AG94" s="17"/>
      <c r="AH94" s="17"/>
      <c r="AI94" s="17"/>
      <c r="AJ94" s="17"/>
      <c r="AK94" s="17"/>
      <c r="AL94" s="17"/>
      <c r="AM94" s="17"/>
      <c r="AN94" s="18"/>
      <c r="AO94" s="18"/>
    </row>
    <row r="95" spans="1:41" ht="35.25" customHeight="1" x14ac:dyDescent="0.25">
      <c r="A95" s="10">
        <v>93</v>
      </c>
      <c r="B95" s="11"/>
      <c r="C95" s="17"/>
      <c r="D95" s="17"/>
      <c r="E95" s="17"/>
      <c r="F95" s="27"/>
      <c r="G95" s="27"/>
      <c r="H95" s="27"/>
      <c r="I95" s="17"/>
      <c r="J95" s="17"/>
      <c r="K95" s="38"/>
      <c r="L95" s="60"/>
      <c r="M95" s="13"/>
      <c r="N95" s="17"/>
      <c r="O95" s="17"/>
      <c r="P95" s="17"/>
      <c r="Q95" s="29"/>
      <c r="R95" s="29"/>
      <c r="S95" s="17"/>
      <c r="T95" s="17"/>
      <c r="U95" s="13"/>
      <c r="V95" s="17"/>
      <c r="W95" s="17"/>
      <c r="X95" s="17"/>
      <c r="Y95" s="17"/>
      <c r="Z95" s="17"/>
      <c r="AA95" s="17"/>
      <c r="AB95" s="17"/>
      <c r="AC95" s="17"/>
      <c r="AD95" s="29"/>
      <c r="AE95" s="17"/>
      <c r="AF95" s="17"/>
      <c r="AG95" s="17"/>
      <c r="AH95" s="17"/>
      <c r="AI95" s="17"/>
      <c r="AJ95" s="17"/>
      <c r="AK95" s="17"/>
      <c r="AL95" s="17"/>
      <c r="AM95" s="17"/>
      <c r="AN95" s="18"/>
      <c r="AO95" s="18"/>
    </row>
    <row r="96" spans="1:41" ht="36.75" customHeight="1" x14ac:dyDescent="0.25">
      <c r="A96" s="10">
        <v>94</v>
      </c>
      <c r="B96" s="11"/>
      <c r="C96" s="17"/>
      <c r="D96" s="17"/>
      <c r="E96" s="17"/>
      <c r="F96" s="27"/>
      <c r="G96" s="27"/>
      <c r="H96" s="27"/>
      <c r="I96" s="17"/>
      <c r="J96" s="17"/>
      <c r="K96" s="38"/>
      <c r="L96" s="60"/>
      <c r="M96" s="13"/>
      <c r="N96" s="17"/>
      <c r="O96" s="17"/>
      <c r="P96" s="17"/>
      <c r="Q96" s="29"/>
      <c r="R96" s="29"/>
      <c r="S96" s="17"/>
      <c r="T96" s="17"/>
      <c r="U96" s="13"/>
      <c r="V96" s="17"/>
      <c r="W96" s="17"/>
      <c r="X96" s="17"/>
      <c r="Y96" s="17"/>
      <c r="Z96" s="17"/>
      <c r="AA96" s="17"/>
      <c r="AB96" s="17"/>
      <c r="AC96" s="17"/>
      <c r="AD96" s="29"/>
      <c r="AE96" s="17"/>
      <c r="AF96" s="17"/>
      <c r="AG96" s="17"/>
      <c r="AH96" s="17"/>
      <c r="AI96" s="17"/>
      <c r="AJ96" s="17"/>
      <c r="AK96" s="17"/>
      <c r="AL96" s="17"/>
      <c r="AM96" s="17"/>
      <c r="AN96" s="18"/>
      <c r="AO96" s="18"/>
    </row>
    <row r="97" spans="1:41" ht="28.5" customHeight="1" x14ac:dyDescent="0.25">
      <c r="A97" s="10">
        <v>95</v>
      </c>
      <c r="B97" s="11"/>
      <c r="C97" s="17"/>
      <c r="D97" s="17"/>
      <c r="E97" s="17"/>
      <c r="F97" s="27"/>
      <c r="G97" s="27"/>
      <c r="H97" s="27"/>
      <c r="I97" s="17"/>
      <c r="J97" s="17"/>
      <c r="K97" s="38"/>
      <c r="L97" s="60"/>
      <c r="M97" s="13"/>
      <c r="N97" s="17"/>
      <c r="O97" s="17"/>
      <c r="P97" s="17"/>
      <c r="Q97" s="29"/>
      <c r="R97" s="29"/>
      <c r="S97" s="17"/>
      <c r="T97" s="17"/>
      <c r="U97" s="13"/>
      <c r="V97" s="17"/>
      <c r="W97" s="17"/>
      <c r="X97" s="17"/>
      <c r="Y97" s="17"/>
      <c r="Z97" s="17"/>
      <c r="AA97" s="17"/>
      <c r="AB97" s="17"/>
      <c r="AC97" s="17"/>
      <c r="AD97" s="29"/>
      <c r="AE97" s="17"/>
      <c r="AF97" s="17"/>
      <c r="AG97" s="17"/>
      <c r="AH97" s="17"/>
      <c r="AI97" s="17"/>
      <c r="AJ97" s="17"/>
      <c r="AK97" s="17"/>
      <c r="AL97" s="17"/>
      <c r="AM97" s="17"/>
      <c r="AN97" s="18"/>
      <c r="AO97" s="18"/>
    </row>
    <row r="98" spans="1:41" ht="28.5" customHeight="1" x14ac:dyDescent="0.25">
      <c r="A98" s="10">
        <v>96</v>
      </c>
      <c r="B98" s="11"/>
      <c r="C98" s="17"/>
      <c r="D98" s="17"/>
      <c r="E98" s="17"/>
      <c r="F98" s="27"/>
      <c r="G98" s="27"/>
      <c r="H98" s="27"/>
      <c r="I98" s="17"/>
      <c r="J98" s="17"/>
      <c r="K98" s="38"/>
      <c r="L98" s="60"/>
      <c r="M98" s="13"/>
      <c r="N98" s="17"/>
      <c r="O98" s="17"/>
      <c r="P98" s="17"/>
      <c r="Q98" s="29"/>
      <c r="R98" s="29"/>
      <c r="S98" s="17"/>
      <c r="T98" s="17"/>
      <c r="U98" s="13"/>
      <c r="V98" s="17"/>
      <c r="W98" s="17"/>
      <c r="X98" s="17"/>
      <c r="Y98" s="17"/>
      <c r="Z98" s="17"/>
      <c r="AA98" s="17"/>
      <c r="AB98" s="17"/>
      <c r="AC98" s="17"/>
      <c r="AD98" s="29"/>
      <c r="AE98" s="17"/>
      <c r="AF98" s="17"/>
      <c r="AG98" s="17"/>
      <c r="AH98" s="17"/>
      <c r="AI98" s="17"/>
      <c r="AJ98" s="17"/>
      <c r="AK98" s="17"/>
      <c r="AL98" s="17"/>
      <c r="AM98" s="17"/>
      <c r="AN98" s="18"/>
      <c r="AO98" s="18"/>
    </row>
    <row r="99" spans="1:41" ht="30" customHeight="1" x14ac:dyDescent="0.25">
      <c r="A99" s="10">
        <v>97</v>
      </c>
      <c r="B99" s="11"/>
      <c r="C99" s="17"/>
      <c r="D99" s="17"/>
      <c r="E99" s="17"/>
      <c r="F99" s="27"/>
      <c r="G99" s="27"/>
      <c r="H99" s="27"/>
      <c r="I99" s="17"/>
      <c r="J99" s="17"/>
      <c r="K99" s="38"/>
      <c r="L99" s="60"/>
      <c r="M99" s="13"/>
      <c r="N99" s="17"/>
      <c r="O99" s="17"/>
      <c r="P99" s="17"/>
      <c r="Q99" s="29"/>
      <c r="R99" s="29"/>
      <c r="S99" s="17"/>
      <c r="T99" s="17"/>
      <c r="U99" s="13"/>
      <c r="V99" s="17"/>
      <c r="W99" s="17"/>
      <c r="X99" s="17"/>
      <c r="Y99" s="17"/>
      <c r="Z99" s="17"/>
      <c r="AA99" s="17"/>
      <c r="AB99" s="17"/>
      <c r="AC99" s="17"/>
      <c r="AD99" s="29"/>
      <c r="AE99" s="17"/>
      <c r="AF99" s="17"/>
      <c r="AG99" s="17"/>
      <c r="AH99" s="17"/>
      <c r="AI99" s="17"/>
      <c r="AJ99" s="17"/>
      <c r="AK99" s="17"/>
      <c r="AL99" s="17"/>
      <c r="AM99" s="17"/>
      <c r="AN99" s="18"/>
      <c r="AO99" s="18"/>
    </row>
    <row r="100" spans="1:41" ht="33.75" customHeight="1" x14ac:dyDescent="0.25">
      <c r="A100" s="10">
        <v>98</v>
      </c>
      <c r="B100" s="11"/>
      <c r="C100" s="17"/>
      <c r="D100" s="17"/>
      <c r="E100" s="17"/>
      <c r="F100" s="27"/>
      <c r="G100" s="27"/>
      <c r="H100" s="27"/>
      <c r="I100" s="17"/>
      <c r="J100" s="17"/>
      <c r="K100" s="38"/>
      <c r="L100" s="60"/>
      <c r="M100" s="13"/>
      <c r="N100" s="17"/>
      <c r="O100" s="17"/>
      <c r="P100" s="17"/>
      <c r="Q100" s="29"/>
      <c r="R100" s="29"/>
      <c r="S100" s="17"/>
      <c r="T100" s="17"/>
      <c r="U100" s="13"/>
      <c r="V100" s="17"/>
      <c r="W100" s="17"/>
      <c r="X100" s="17"/>
      <c r="Y100" s="17"/>
      <c r="Z100" s="17"/>
      <c r="AA100" s="17"/>
      <c r="AB100" s="17"/>
      <c r="AC100" s="17"/>
      <c r="AD100" s="29"/>
      <c r="AE100" s="17"/>
      <c r="AF100" s="17"/>
      <c r="AG100" s="17"/>
      <c r="AH100" s="17"/>
      <c r="AI100" s="17"/>
      <c r="AJ100" s="17"/>
      <c r="AK100" s="17"/>
      <c r="AL100" s="17"/>
      <c r="AM100" s="17"/>
      <c r="AN100" s="18"/>
      <c r="AO100" s="18"/>
    </row>
    <row r="101" spans="1:41" ht="15.75" customHeight="1" x14ac:dyDescent="0.25">
      <c r="A101" s="10">
        <v>99</v>
      </c>
      <c r="B101" s="11"/>
      <c r="C101" s="17"/>
      <c r="D101" s="17"/>
      <c r="E101" s="17"/>
      <c r="F101" s="27"/>
      <c r="G101" s="27"/>
      <c r="H101" s="27"/>
      <c r="I101" s="17"/>
      <c r="J101" s="17"/>
      <c r="K101" s="38"/>
      <c r="L101" s="60"/>
      <c r="M101" s="13"/>
      <c r="N101" s="17"/>
      <c r="O101" s="17"/>
      <c r="P101" s="17"/>
      <c r="Q101" s="29"/>
      <c r="R101" s="29"/>
      <c r="S101" s="17"/>
      <c r="T101" s="17"/>
      <c r="U101" s="13"/>
      <c r="V101" s="17"/>
      <c r="W101" s="17"/>
      <c r="X101" s="17"/>
      <c r="Y101" s="17"/>
      <c r="Z101" s="17"/>
      <c r="AA101" s="17"/>
      <c r="AB101" s="17"/>
      <c r="AC101" s="17"/>
      <c r="AD101" s="29"/>
      <c r="AE101" s="17"/>
      <c r="AF101" s="17"/>
      <c r="AG101" s="17"/>
      <c r="AH101" s="17"/>
      <c r="AI101" s="17"/>
      <c r="AJ101" s="17"/>
      <c r="AK101" s="17"/>
      <c r="AL101" s="17"/>
      <c r="AM101" s="17"/>
      <c r="AN101" s="18"/>
      <c r="AO101" s="18"/>
    </row>
    <row r="102" spans="1:41" ht="27.75" customHeight="1" x14ac:dyDescent="0.25">
      <c r="A102" s="10">
        <v>100</v>
      </c>
      <c r="B102" s="11"/>
      <c r="C102" s="17"/>
      <c r="D102" s="17"/>
      <c r="E102" s="17"/>
      <c r="F102" s="27"/>
      <c r="G102" s="27"/>
      <c r="H102" s="27"/>
      <c r="I102" s="17"/>
      <c r="J102" s="17"/>
      <c r="K102" s="38"/>
      <c r="L102" s="60"/>
      <c r="M102" s="13"/>
      <c r="N102" s="17"/>
      <c r="O102" s="17"/>
      <c r="P102" s="17"/>
      <c r="Q102" s="29"/>
      <c r="R102" s="29"/>
      <c r="S102" s="17"/>
      <c r="T102" s="17"/>
      <c r="U102" s="13"/>
      <c r="V102" s="17"/>
      <c r="W102" s="17"/>
      <c r="X102" s="17"/>
      <c r="Y102" s="17"/>
      <c r="Z102" s="17"/>
      <c r="AA102" s="17"/>
      <c r="AB102" s="17"/>
      <c r="AC102" s="17"/>
      <c r="AD102" s="29"/>
      <c r="AE102" s="17"/>
      <c r="AF102" s="17"/>
      <c r="AG102" s="17"/>
      <c r="AH102" s="17"/>
      <c r="AI102" s="17"/>
      <c r="AJ102" s="17"/>
      <c r="AK102" s="17"/>
      <c r="AL102" s="17"/>
      <c r="AM102" s="17"/>
      <c r="AN102" s="18"/>
      <c r="AO102" s="18"/>
    </row>
    <row r="103" spans="1:41" ht="20.25" customHeight="1" x14ac:dyDescent="0.25">
      <c r="A103" s="10">
        <v>101</v>
      </c>
      <c r="B103" s="11"/>
      <c r="C103" s="17"/>
      <c r="D103" s="17"/>
      <c r="E103" s="17"/>
      <c r="F103" s="27"/>
      <c r="G103" s="27"/>
      <c r="H103" s="27"/>
      <c r="I103" s="17"/>
      <c r="J103" s="17"/>
      <c r="K103" s="38"/>
      <c r="L103" s="60"/>
      <c r="M103" s="13"/>
      <c r="N103" s="17"/>
      <c r="O103" s="17"/>
      <c r="P103" s="17"/>
      <c r="Q103" s="29"/>
      <c r="R103" s="29"/>
      <c r="S103" s="17"/>
      <c r="T103" s="17"/>
      <c r="U103" s="13"/>
      <c r="V103" s="17"/>
      <c r="W103" s="17"/>
      <c r="X103" s="17"/>
      <c r="Y103" s="17"/>
      <c r="Z103" s="17"/>
      <c r="AA103" s="17"/>
      <c r="AB103" s="17"/>
      <c r="AC103" s="17"/>
      <c r="AD103" s="29"/>
      <c r="AE103" s="17"/>
      <c r="AF103" s="17"/>
      <c r="AG103" s="17"/>
      <c r="AH103" s="17"/>
      <c r="AI103" s="17"/>
      <c r="AJ103" s="17"/>
      <c r="AK103" s="17"/>
      <c r="AL103" s="17"/>
      <c r="AM103" s="17"/>
      <c r="AN103" s="18"/>
      <c r="AO103" s="18"/>
    </row>
    <row r="104" spans="1:41" ht="33" customHeight="1" x14ac:dyDescent="0.25">
      <c r="A104" s="10">
        <v>102</v>
      </c>
      <c r="B104" s="11"/>
      <c r="C104" s="17"/>
      <c r="D104" s="17"/>
      <c r="E104" s="17"/>
      <c r="F104" s="27"/>
      <c r="G104" s="27"/>
      <c r="H104" s="27"/>
      <c r="I104" s="17"/>
      <c r="J104" s="17"/>
      <c r="K104" s="38"/>
      <c r="L104" s="60"/>
      <c r="M104" s="13"/>
      <c r="N104" s="17"/>
      <c r="O104" s="17"/>
      <c r="P104" s="17"/>
      <c r="Q104" s="29"/>
      <c r="R104" s="29"/>
      <c r="S104" s="17"/>
      <c r="T104" s="17"/>
      <c r="U104" s="13"/>
      <c r="V104" s="17"/>
      <c r="W104" s="17"/>
      <c r="X104" s="17"/>
      <c r="Y104" s="17"/>
      <c r="Z104" s="17"/>
      <c r="AA104" s="17"/>
      <c r="AB104" s="17"/>
      <c r="AC104" s="17"/>
      <c r="AD104" s="29"/>
      <c r="AE104" s="17"/>
      <c r="AF104" s="17"/>
      <c r="AG104" s="17"/>
      <c r="AH104" s="17"/>
      <c r="AI104" s="17"/>
      <c r="AJ104" s="17"/>
      <c r="AK104" s="17"/>
      <c r="AL104" s="17"/>
      <c r="AM104" s="17"/>
      <c r="AN104" s="18"/>
      <c r="AO104" s="18"/>
    </row>
    <row r="105" spans="1:41" ht="24.75" customHeight="1" x14ac:dyDescent="0.25">
      <c r="A105" s="10">
        <v>103</v>
      </c>
      <c r="B105" s="11"/>
      <c r="C105" s="17"/>
      <c r="D105" s="17"/>
      <c r="E105" s="17"/>
      <c r="F105" s="27"/>
      <c r="G105" s="27"/>
      <c r="H105" s="27"/>
      <c r="I105" s="17"/>
      <c r="J105" s="17"/>
      <c r="K105" s="38"/>
      <c r="L105" s="60"/>
      <c r="M105" s="13"/>
      <c r="N105" s="17"/>
      <c r="O105" s="17"/>
      <c r="P105" s="17"/>
      <c r="Q105" s="29"/>
      <c r="R105" s="29"/>
      <c r="S105" s="17"/>
      <c r="T105" s="17"/>
      <c r="U105" s="13"/>
      <c r="V105" s="17"/>
      <c r="W105" s="17"/>
      <c r="X105" s="17"/>
      <c r="Y105" s="17"/>
      <c r="Z105" s="17"/>
      <c r="AA105" s="17"/>
      <c r="AB105" s="17"/>
      <c r="AC105" s="17"/>
      <c r="AD105" s="29"/>
      <c r="AE105" s="17"/>
      <c r="AF105" s="17"/>
      <c r="AG105" s="17"/>
      <c r="AH105" s="17"/>
      <c r="AI105" s="17"/>
      <c r="AJ105" s="17"/>
      <c r="AK105" s="17"/>
      <c r="AL105" s="17"/>
      <c r="AM105" s="17"/>
      <c r="AN105" s="18"/>
      <c r="AO105" s="18"/>
    </row>
    <row r="106" spans="1:41" ht="30" customHeight="1" x14ac:dyDescent="0.25">
      <c r="A106" s="10">
        <v>104</v>
      </c>
      <c r="B106" s="11"/>
      <c r="C106" s="17"/>
      <c r="D106" s="17"/>
      <c r="E106" s="17"/>
      <c r="F106" s="27"/>
      <c r="G106" s="27"/>
      <c r="H106" s="27"/>
      <c r="I106" s="17"/>
      <c r="J106" s="17"/>
      <c r="K106" s="38"/>
      <c r="L106" s="60"/>
      <c r="M106" s="13"/>
      <c r="N106" s="17"/>
      <c r="O106" s="17"/>
      <c r="P106" s="17"/>
      <c r="Q106" s="29"/>
      <c r="R106" s="29"/>
      <c r="S106" s="17"/>
      <c r="T106" s="17"/>
      <c r="U106" s="13"/>
      <c r="V106" s="17"/>
      <c r="W106" s="17"/>
      <c r="X106" s="17"/>
      <c r="Y106" s="17"/>
      <c r="Z106" s="17"/>
      <c r="AA106" s="17"/>
      <c r="AB106" s="17"/>
      <c r="AC106" s="17"/>
      <c r="AD106" s="29"/>
      <c r="AE106" s="17"/>
      <c r="AF106" s="17"/>
      <c r="AG106" s="17"/>
      <c r="AH106" s="17"/>
      <c r="AI106" s="17"/>
      <c r="AJ106" s="17"/>
      <c r="AK106" s="17"/>
      <c r="AL106" s="17"/>
      <c r="AM106" s="17"/>
      <c r="AN106" s="18"/>
      <c r="AO106" s="18"/>
    </row>
    <row r="107" spans="1:41" ht="21.75" customHeight="1" x14ac:dyDescent="0.25">
      <c r="A107" s="10">
        <v>105</v>
      </c>
      <c r="B107" s="11"/>
      <c r="C107" s="17"/>
      <c r="D107" s="17"/>
      <c r="E107" s="17"/>
      <c r="F107" s="27"/>
      <c r="G107" s="27"/>
      <c r="H107" s="27"/>
      <c r="I107" s="17"/>
      <c r="J107" s="17"/>
      <c r="K107" s="38"/>
      <c r="L107" s="60"/>
      <c r="M107" s="13"/>
      <c r="N107" s="17"/>
      <c r="O107" s="17"/>
      <c r="P107" s="17"/>
      <c r="Q107" s="29"/>
      <c r="R107" s="29"/>
      <c r="S107" s="17"/>
      <c r="T107" s="17"/>
      <c r="U107" s="13"/>
      <c r="V107" s="17"/>
      <c r="W107" s="17"/>
      <c r="X107" s="17"/>
      <c r="Y107" s="17"/>
      <c r="Z107" s="17"/>
      <c r="AA107" s="17"/>
      <c r="AB107" s="17"/>
      <c r="AC107" s="17"/>
      <c r="AD107" s="29"/>
      <c r="AE107" s="17"/>
      <c r="AF107" s="17"/>
      <c r="AG107" s="17"/>
      <c r="AH107" s="17"/>
      <c r="AI107" s="17"/>
      <c r="AJ107" s="17"/>
      <c r="AK107" s="17"/>
      <c r="AL107" s="17"/>
      <c r="AM107" s="17"/>
      <c r="AN107" s="18"/>
      <c r="AO107" s="18"/>
    </row>
    <row r="108" spans="1:41" ht="29.25" customHeight="1" x14ac:dyDescent="0.25">
      <c r="A108" s="10">
        <v>106</v>
      </c>
      <c r="B108" s="11"/>
      <c r="C108" s="17"/>
      <c r="D108" s="17"/>
      <c r="E108" s="17"/>
      <c r="F108" s="27"/>
      <c r="G108" s="27"/>
      <c r="H108" s="27"/>
      <c r="I108" s="17"/>
      <c r="J108" s="17"/>
      <c r="K108" s="38"/>
      <c r="L108" s="60"/>
      <c r="M108" s="13"/>
      <c r="N108" s="17"/>
      <c r="O108" s="17"/>
      <c r="P108" s="17"/>
      <c r="Q108" s="29"/>
      <c r="R108" s="29"/>
      <c r="S108" s="17"/>
      <c r="T108" s="17"/>
      <c r="U108" s="13"/>
      <c r="V108" s="17"/>
      <c r="W108" s="17"/>
      <c r="X108" s="17"/>
      <c r="Y108" s="17"/>
      <c r="Z108" s="17"/>
      <c r="AA108" s="17"/>
      <c r="AB108" s="17"/>
      <c r="AC108" s="17"/>
      <c r="AD108" s="29"/>
      <c r="AE108" s="17"/>
      <c r="AF108" s="17"/>
      <c r="AG108" s="17"/>
      <c r="AH108" s="17"/>
      <c r="AI108" s="17"/>
      <c r="AJ108" s="17"/>
      <c r="AK108" s="17"/>
      <c r="AL108" s="17"/>
      <c r="AM108" s="17"/>
      <c r="AN108" s="18"/>
      <c r="AO108" s="18"/>
    </row>
    <row r="109" spans="1:41" ht="29.25" customHeight="1" x14ac:dyDescent="0.25">
      <c r="A109" s="10">
        <v>107</v>
      </c>
      <c r="B109" s="11"/>
      <c r="C109" s="17"/>
      <c r="D109" s="17"/>
      <c r="E109" s="17"/>
      <c r="F109" s="27"/>
      <c r="G109" s="27"/>
      <c r="H109" s="27"/>
      <c r="I109" s="17"/>
      <c r="J109" s="17"/>
      <c r="K109" s="38"/>
      <c r="L109" s="60"/>
      <c r="M109" s="13"/>
      <c r="N109" s="17"/>
      <c r="O109" s="17"/>
      <c r="P109" s="17"/>
      <c r="Q109" s="29"/>
      <c r="R109" s="29"/>
      <c r="S109" s="17"/>
      <c r="T109" s="17"/>
      <c r="U109" s="13"/>
      <c r="V109" s="17"/>
      <c r="W109" s="17"/>
      <c r="X109" s="17"/>
      <c r="Y109" s="17"/>
      <c r="Z109" s="17"/>
      <c r="AA109" s="17"/>
      <c r="AB109" s="17"/>
      <c r="AC109" s="17"/>
      <c r="AD109" s="29"/>
      <c r="AE109" s="17"/>
      <c r="AF109" s="17"/>
      <c r="AG109" s="17"/>
      <c r="AH109" s="17"/>
      <c r="AI109" s="17"/>
      <c r="AJ109" s="17"/>
      <c r="AK109" s="17"/>
      <c r="AL109" s="17"/>
      <c r="AM109" s="17"/>
      <c r="AN109" s="18"/>
      <c r="AO109" s="18"/>
    </row>
    <row r="110" spans="1:41" ht="34.5" customHeight="1" x14ac:dyDescent="0.25">
      <c r="A110" s="10">
        <v>108</v>
      </c>
      <c r="B110" s="11"/>
      <c r="C110" s="17"/>
      <c r="D110" s="17"/>
      <c r="E110" s="17"/>
      <c r="F110" s="27"/>
      <c r="G110" s="27"/>
      <c r="H110" s="27"/>
      <c r="I110" s="17"/>
      <c r="J110" s="17"/>
      <c r="K110" s="38"/>
      <c r="L110" s="60"/>
      <c r="M110" s="13"/>
      <c r="N110" s="17"/>
      <c r="O110" s="17"/>
      <c r="P110" s="17"/>
      <c r="Q110" s="29"/>
      <c r="R110" s="29"/>
      <c r="S110" s="17"/>
      <c r="T110" s="17"/>
      <c r="U110" s="13"/>
      <c r="V110" s="17"/>
      <c r="W110" s="17"/>
      <c r="X110" s="17"/>
      <c r="Y110" s="17"/>
      <c r="Z110" s="17"/>
      <c r="AA110" s="17"/>
      <c r="AB110" s="17"/>
      <c r="AC110" s="17"/>
      <c r="AD110" s="29"/>
      <c r="AE110" s="17"/>
      <c r="AF110" s="17"/>
      <c r="AG110" s="17"/>
      <c r="AH110" s="17"/>
      <c r="AI110" s="17"/>
      <c r="AJ110" s="17"/>
      <c r="AK110" s="17"/>
      <c r="AL110" s="17"/>
      <c r="AM110" s="17"/>
      <c r="AN110" s="18"/>
      <c r="AO110" s="18"/>
    </row>
    <row r="111" spans="1:41" ht="33.75" customHeight="1" x14ac:dyDescent="0.25">
      <c r="A111" s="10">
        <v>109</v>
      </c>
      <c r="B111" s="11"/>
      <c r="C111" s="17"/>
      <c r="D111" s="17"/>
      <c r="E111" s="17"/>
      <c r="F111" s="27"/>
      <c r="G111" s="27"/>
      <c r="H111" s="27"/>
      <c r="I111" s="17"/>
      <c r="J111" s="17"/>
      <c r="K111" s="38"/>
      <c r="L111" s="60"/>
      <c r="M111" s="13"/>
      <c r="N111" s="17"/>
      <c r="O111" s="17"/>
      <c r="P111" s="17"/>
      <c r="Q111" s="29"/>
      <c r="R111" s="29"/>
      <c r="S111" s="17"/>
      <c r="T111" s="17"/>
      <c r="U111" s="13"/>
      <c r="V111" s="17"/>
      <c r="W111" s="17"/>
      <c r="X111" s="17"/>
      <c r="Y111" s="17"/>
      <c r="Z111" s="17"/>
      <c r="AA111" s="17"/>
      <c r="AB111" s="17"/>
      <c r="AC111" s="17"/>
      <c r="AD111" s="29"/>
      <c r="AE111" s="17"/>
      <c r="AF111" s="17"/>
      <c r="AG111" s="17"/>
      <c r="AH111" s="17"/>
      <c r="AI111" s="17"/>
      <c r="AJ111" s="17"/>
      <c r="AK111" s="17"/>
      <c r="AL111" s="17"/>
      <c r="AM111" s="17"/>
      <c r="AN111" s="18"/>
      <c r="AO111" s="18"/>
    </row>
    <row r="112" spans="1:41" ht="36.75" customHeight="1" x14ac:dyDescent="0.25">
      <c r="A112" s="10">
        <v>110</v>
      </c>
      <c r="B112" s="11"/>
      <c r="C112" s="17"/>
      <c r="D112" s="17"/>
      <c r="E112" s="17"/>
      <c r="F112" s="27"/>
      <c r="G112" s="27"/>
      <c r="H112" s="27"/>
      <c r="I112" s="17"/>
      <c r="J112" s="17"/>
      <c r="K112" s="38"/>
      <c r="L112" s="60"/>
      <c r="M112" s="13"/>
      <c r="N112" s="17"/>
      <c r="O112" s="17"/>
      <c r="P112" s="17"/>
      <c r="Q112" s="29"/>
      <c r="R112" s="29"/>
      <c r="S112" s="17"/>
      <c r="T112" s="17"/>
      <c r="U112" s="13"/>
      <c r="V112" s="17"/>
      <c r="W112" s="17"/>
      <c r="X112" s="17"/>
      <c r="Y112" s="17"/>
      <c r="Z112" s="17"/>
      <c r="AA112" s="17"/>
      <c r="AB112" s="17"/>
      <c r="AC112" s="17"/>
      <c r="AD112" s="29"/>
      <c r="AE112" s="17"/>
      <c r="AF112" s="17"/>
      <c r="AG112" s="17"/>
      <c r="AH112" s="17"/>
      <c r="AI112" s="17"/>
      <c r="AJ112" s="17"/>
      <c r="AK112" s="17"/>
      <c r="AL112" s="17"/>
      <c r="AM112" s="17"/>
      <c r="AN112" s="18"/>
      <c r="AO112" s="18"/>
    </row>
    <row r="113" spans="1:41" ht="31.5" customHeight="1" x14ac:dyDescent="0.25">
      <c r="A113" s="10">
        <v>111</v>
      </c>
      <c r="B113" s="11"/>
      <c r="C113" s="17"/>
      <c r="D113" s="17"/>
      <c r="E113" s="17"/>
      <c r="F113" s="27"/>
      <c r="G113" s="27"/>
      <c r="H113" s="27"/>
      <c r="I113" s="17"/>
      <c r="J113" s="17"/>
      <c r="K113" s="38"/>
      <c r="L113" s="60"/>
      <c r="M113" s="13"/>
      <c r="N113" s="17"/>
      <c r="O113" s="17"/>
      <c r="P113" s="17"/>
      <c r="Q113" s="29"/>
      <c r="R113" s="29"/>
      <c r="S113" s="17"/>
      <c r="T113" s="17"/>
      <c r="U113" s="13"/>
      <c r="V113" s="17"/>
      <c r="W113" s="17"/>
      <c r="X113" s="17"/>
      <c r="Y113" s="17"/>
      <c r="Z113" s="17"/>
      <c r="AA113" s="17"/>
      <c r="AB113" s="17"/>
      <c r="AC113" s="17"/>
      <c r="AD113" s="29"/>
      <c r="AE113" s="17"/>
      <c r="AF113" s="17"/>
      <c r="AG113" s="17"/>
      <c r="AH113" s="17"/>
      <c r="AI113" s="17"/>
      <c r="AJ113" s="17"/>
      <c r="AK113" s="17"/>
      <c r="AL113" s="17"/>
      <c r="AM113" s="17"/>
      <c r="AN113" s="18"/>
      <c r="AO113" s="18"/>
    </row>
    <row r="114" spans="1:41" ht="33" customHeight="1" x14ac:dyDescent="0.25">
      <c r="A114" s="10">
        <v>112</v>
      </c>
      <c r="B114" s="11"/>
      <c r="C114" s="17"/>
      <c r="D114" s="17"/>
      <c r="E114" s="17"/>
      <c r="F114" s="27"/>
      <c r="G114" s="27"/>
      <c r="H114" s="27"/>
      <c r="I114" s="17"/>
      <c r="J114" s="17"/>
      <c r="K114" s="38"/>
      <c r="L114" s="60"/>
      <c r="M114" s="13"/>
      <c r="N114" s="17"/>
      <c r="O114" s="17"/>
      <c r="P114" s="17"/>
      <c r="Q114" s="29"/>
      <c r="R114" s="29"/>
      <c r="S114" s="17"/>
      <c r="T114" s="17"/>
      <c r="U114" s="13"/>
      <c r="V114" s="17"/>
      <c r="W114" s="17"/>
      <c r="X114" s="17"/>
      <c r="Y114" s="17"/>
      <c r="Z114" s="17"/>
      <c r="AA114" s="17"/>
      <c r="AB114" s="17"/>
      <c r="AC114" s="17"/>
      <c r="AD114" s="29"/>
      <c r="AE114" s="17"/>
      <c r="AF114" s="17"/>
      <c r="AG114" s="17"/>
      <c r="AH114" s="17"/>
      <c r="AI114" s="17"/>
      <c r="AJ114" s="17"/>
      <c r="AK114" s="17"/>
      <c r="AL114" s="17"/>
      <c r="AM114" s="17"/>
      <c r="AN114" s="18"/>
      <c r="AO114" s="18"/>
    </row>
    <row r="115" spans="1:41" ht="32.25" customHeight="1" x14ac:dyDescent="0.25">
      <c r="A115" s="10">
        <v>113</v>
      </c>
      <c r="B115" s="11"/>
      <c r="C115" s="17"/>
      <c r="D115" s="17"/>
      <c r="E115" s="17"/>
      <c r="F115" s="27"/>
      <c r="G115" s="27"/>
      <c r="H115" s="27"/>
      <c r="I115" s="17"/>
      <c r="J115" s="17"/>
      <c r="K115" s="38"/>
      <c r="L115" s="60"/>
      <c r="M115" s="13"/>
      <c r="N115" s="17"/>
      <c r="O115" s="17"/>
      <c r="P115" s="17"/>
      <c r="Q115" s="29"/>
      <c r="R115" s="29"/>
      <c r="S115" s="17"/>
      <c r="T115" s="17"/>
      <c r="U115" s="13"/>
      <c r="V115" s="17"/>
      <c r="W115" s="17"/>
      <c r="X115" s="17"/>
      <c r="Y115" s="17"/>
      <c r="Z115" s="17"/>
      <c r="AA115" s="17"/>
      <c r="AB115" s="17"/>
      <c r="AC115" s="17"/>
      <c r="AD115" s="29"/>
      <c r="AE115" s="17"/>
      <c r="AF115" s="17"/>
      <c r="AG115" s="17"/>
      <c r="AH115" s="17"/>
      <c r="AI115" s="17"/>
      <c r="AJ115" s="17"/>
      <c r="AK115" s="17"/>
      <c r="AL115" s="17"/>
      <c r="AM115" s="17"/>
      <c r="AN115" s="18"/>
      <c r="AO115" s="18"/>
    </row>
    <row r="116" spans="1:41" ht="30" customHeight="1" x14ac:dyDescent="0.25">
      <c r="A116" s="10">
        <v>114</v>
      </c>
      <c r="B116" s="11"/>
      <c r="C116" s="17"/>
      <c r="D116" s="17"/>
      <c r="E116" s="17"/>
      <c r="F116" s="27"/>
      <c r="G116" s="27"/>
      <c r="H116" s="27"/>
      <c r="I116" s="17"/>
      <c r="J116" s="17"/>
      <c r="K116" s="38"/>
      <c r="L116" s="60"/>
      <c r="M116" s="13"/>
      <c r="N116" s="17"/>
      <c r="O116" s="17"/>
      <c r="P116" s="17"/>
      <c r="Q116" s="29"/>
      <c r="R116" s="29"/>
      <c r="S116" s="17"/>
      <c r="T116" s="17"/>
      <c r="U116" s="13"/>
      <c r="V116" s="17"/>
      <c r="W116" s="17"/>
      <c r="X116" s="17"/>
      <c r="Y116" s="17"/>
      <c r="Z116" s="17"/>
      <c r="AA116" s="17"/>
      <c r="AB116" s="17"/>
      <c r="AC116" s="17"/>
      <c r="AD116" s="29"/>
      <c r="AE116" s="17"/>
      <c r="AF116" s="17"/>
      <c r="AG116" s="17"/>
      <c r="AH116" s="17"/>
      <c r="AI116" s="17"/>
      <c r="AJ116" s="17"/>
      <c r="AK116" s="17"/>
      <c r="AL116" s="17"/>
      <c r="AM116" s="17"/>
      <c r="AN116" s="18"/>
      <c r="AO116" s="18"/>
    </row>
    <row r="117" spans="1:41" ht="29.25" customHeight="1" x14ac:dyDescent="0.25">
      <c r="A117" s="10">
        <v>115</v>
      </c>
      <c r="B117" s="11"/>
      <c r="C117" s="17"/>
      <c r="D117" s="17"/>
      <c r="E117" s="17"/>
      <c r="F117" s="27"/>
      <c r="G117" s="27"/>
      <c r="H117" s="27"/>
      <c r="I117" s="17"/>
      <c r="J117" s="17"/>
      <c r="K117" s="38"/>
      <c r="L117" s="60"/>
      <c r="M117" s="13"/>
      <c r="N117" s="17"/>
      <c r="O117" s="17"/>
      <c r="P117" s="17"/>
      <c r="Q117" s="29"/>
      <c r="R117" s="29"/>
      <c r="S117" s="17"/>
      <c r="T117" s="17"/>
      <c r="U117" s="13"/>
      <c r="V117" s="17"/>
      <c r="W117" s="17"/>
      <c r="X117" s="17"/>
      <c r="Y117" s="17"/>
      <c r="Z117" s="17"/>
      <c r="AA117" s="17"/>
      <c r="AB117" s="17"/>
      <c r="AC117" s="17"/>
      <c r="AD117" s="29"/>
      <c r="AE117" s="17"/>
      <c r="AF117" s="17"/>
      <c r="AG117" s="17"/>
      <c r="AH117" s="17"/>
      <c r="AI117" s="17"/>
      <c r="AJ117" s="17"/>
      <c r="AK117" s="17"/>
      <c r="AL117" s="17"/>
      <c r="AM117" s="17"/>
      <c r="AN117" s="18"/>
      <c r="AO117" s="18"/>
    </row>
    <row r="118" spans="1:41" ht="28.5" customHeight="1" x14ac:dyDescent="0.25">
      <c r="A118" s="10">
        <v>116</v>
      </c>
      <c r="B118" s="11"/>
      <c r="C118" s="17"/>
      <c r="D118" s="17"/>
      <c r="E118" s="17"/>
      <c r="F118" s="27"/>
      <c r="G118" s="27"/>
      <c r="H118" s="27"/>
      <c r="I118" s="17"/>
      <c r="J118" s="17"/>
      <c r="K118" s="38"/>
      <c r="L118" s="60"/>
      <c r="M118" s="13"/>
      <c r="N118" s="17"/>
      <c r="O118" s="17"/>
      <c r="P118" s="17"/>
      <c r="Q118" s="29"/>
      <c r="R118" s="29"/>
      <c r="S118" s="17"/>
      <c r="T118" s="17"/>
      <c r="U118" s="13"/>
      <c r="V118" s="17"/>
      <c r="W118" s="17"/>
      <c r="X118" s="17"/>
      <c r="Y118" s="17"/>
      <c r="Z118" s="17"/>
      <c r="AA118" s="17"/>
      <c r="AB118" s="17"/>
      <c r="AC118" s="17"/>
      <c r="AD118" s="29"/>
      <c r="AE118" s="17"/>
      <c r="AF118" s="17"/>
      <c r="AG118" s="17"/>
      <c r="AH118" s="17"/>
      <c r="AI118" s="17"/>
      <c r="AJ118" s="17"/>
      <c r="AK118" s="17"/>
      <c r="AL118" s="17"/>
      <c r="AM118" s="17"/>
      <c r="AN118" s="18"/>
      <c r="AO118" s="18"/>
    </row>
    <row r="119" spans="1:41" ht="21" customHeight="1" x14ac:dyDescent="0.25">
      <c r="A119" s="10">
        <v>117</v>
      </c>
      <c r="B119" s="11"/>
      <c r="C119" s="17"/>
      <c r="D119" s="17"/>
      <c r="E119" s="17"/>
      <c r="F119" s="27"/>
      <c r="G119" s="27"/>
      <c r="H119" s="27"/>
      <c r="I119" s="17"/>
      <c r="J119" s="17"/>
      <c r="K119" s="38"/>
      <c r="L119" s="60"/>
      <c r="M119" s="13"/>
      <c r="N119" s="17"/>
      <c r="O119" s="17"/>
      <c r="P119" s="17"/>
      <c r="Q119" s="29"/>
      <c r="R119" s="29"/>
      <c r="S119" s="17"/>
      <c r="T119" s="17"/>
      <c r="U119" s="13"/>
      <c r="V119" s="17"/>
      <c r="W119" s="17"/>
      <c r="X119" s="17"/>
      <c r="Y119" s="17"/>
      <c r="Z119" s="17"/>
      <c r="AA119" s="17"/>
      <c r="AB119" s="17"/>
      <c r="AC119" s="17"/>
      <c r="AD119" s="29"/>
      <c r="AE119" s="17"/>
      <c r="AF119" s="17"/>
      <c r="AG119" s="17"/>
      <c r="AH119" s="17"/>
      <c r="AI119" s="17"/>
      <c r="AJ119" s="17"/>
      <c r="AK119" s="17"/>
      <c r="AL119" s="17"/>
      <c r="AM119" s="17"/>
      <c r="AN119" s="18"/>
      <c r="AO119" s="18"/>
    </row>
    <row r="120" spans="1:41" ht="34.5" customHeight="1" x14ac:dyDescent="0.25">
      <c r="A120" s="10">
        <v>118</v>
      </c>
      <c r="B120" s="11"/>
      <c r="C120" s="17"/>
      <c r="D120" s="17"/>
      <c r="E120" s="17"/>
      <c r="F120" s="27"/>
      <c r="G120" s="27"/>
      <c r="H120" s="27"/>
      <c r="I120" s="17"/>
      <c r="J120" s="17"/>
      <c r="K120" s="38"/>
      <c r="L120" s="60"/>
      <c r="M120" s="13"/>
      <c r="N120" s="17"/>
      <c r="O120" s="17"/>
      <c r="P120" s="17"/>
      <c r="Q120" s="29"/>
      <c r="R120" s="29"/>
      <c r="S120" s="17"/>
      <c r="T120" s="17"/>
      <c r="U120" s="13"/>
      <c r="V120" s="17"/>
      <c r="W120" s="17"/>
      <c r="X120" s="17"/>
      <c r="Y120" s="17"/>
      <c r="Z120" s="17"/>
      <c r="AA120" s="17"/>
      <c r="AB120" s="17"/>
      <c r="AC120" s="17"/>
      <c r="AD120" s="29"/>
      <c r="AE120" s="17"/>
      <c r="AF120" s="17"/>
      <c r="AG120" s="17"/>
      <c r="AH120" s="17"/>
      <c r="AI120" s="17"/>
      <c r="AJ120" s="17"/>
      <c r="AK120" s="17"/>
      <c r="AL120" s="17"/>
      <c r="AM120" s="17"/>
      <c r="AN120" s="18"/>
      <c r="AO120" s="18"/>
    </row>
    <row r="121" spans="1:41" ht="33" customHeight="1" x14ac:dyDescent="0.25">
      <c r="A121" s="10">
        <v>119</v>
      </c>
      <c r="B121" s="65"/>
      <c r="C121" s="66"/>
      <c r="D121" s="66"/>
      <c r="E121" s="66"/>
      <c r="F121" s="67"/>
      <c r="G121" s="68"/>
      <c r="H121" s="68"/>
      <c r="I121" s="66"/>
      <c r="J121" s="66"/>
      <c r="K121" s="69"/>
      <c r="L121" s="60"/>
      <c r="M121" s="13"/>
      <c r="N121" s="66"/>
      <c r="O121" s="66"/>
      <c r="P121" s="66"/>
      <c r="Q121" s="70"/>
      <c r="R121" s="70"/>
      <c r="S121" s="66"/>
      <c r="T121" s="66"/>
      <c r="U121" s="13"/>
      <c r="V121" s="66"/>
      <c r="W121" s="66"/>
      <c r="X121" s="66"/>
      <c r="Y121" s="66"/>
      <c r="Z121" s="66"/>
      <c r="AA121" s="66"/>
      <c r="AB121" s="66"/>
      <c r="AC121" s="66"/>
      <c r="AD121" s="70"/>
      <c r="AE121" s="66"/>
      <c r="AF121" s="66"/>
      <c r="AG121" s="66"/>
      <c r="AH121" s="66"/>
      <c r="AI121" s="66"/>
      <c r="AJ121" s="66"/>
      <c r="AK121" s="66"/>
      <c r="AL121" s="66"/>
      <c r="AM121" s="66"/>
      <c r="AN121" s="18"/>
      <c r="AO121" s="18"/>
    </row>
    <row r="122" spans="1:41" ht="24" customHeight="1" x14ac:dyDescent="0.25">
      <c r="A122" s="10">
        <v>120</v>
      </c>
      <c r="B122" s="11"/>
      <c r="C122" s="17"/>
      <c r="D122" s="17"/>
      <c r="E122" s="17"/>
      <c r="F122" s="26"/>
      <c r="G122" s="27"/>
      <c r="H122" s="27"/>
      <c r="I122" s="17"/>
      <c r="J122" s="17"/>
      <c r="K122" s="38"/>
      <c r="L122" s="60"/>
      <c r="M122" s="13"/>
      <c r="N122" s="17"/>
      <c r="O122" s="17"/>
      <c r="P122" s="17"/>
      <c r="Q122" s="29"/>
      <c r="R122" s="29"/>
      <c r="S122" s="17"/>
      <c r="T122" s="17"/>
      <c r="U122" s="13"/>
      <c r="V122" s="17"/>
      <c r="W122" s="17"/>
      <c r="X122" s="17"/>
      <c r="Y122" s="17"/>
      <c r="Z122" s="17"/>
      <c r="AA122" s="17"/>
      <c r="AB122" s="17"/>
      <c r="AC122" s="17"/>
      <c r="AD122" s="29"/>
      <c r="AE122" s="17"/>
      <c r="AF122" s="17"/>
      <c r="AG122" s="17"/>
      <c r="AH122" s="17"/>
      <c r="AI122" s="17"/>
      <c r="AJ122" s="17"/>
      <c r="AK122" s="17"/>
      <c r="AL122" s="17"/>
      <c r="AM122" s="17"/>
      <c r="AN122" s="18"/>
      <c r="AO122" s="18"/>
    </row>
    <row r="123" spans="1:41" ht="30.75" customHeight="1" x14ac:dyDescent="0.25">
      <c r="A123" s="10">
        <v>121</v>
      </c>
      <c r="B123" s="11"/>
      <c r="C123" s="17"/>
      <c r="D123" s="17"/>
      <c r="E123" s="17"/>
      <c r="F123" s="26"/>
      <c r="G123" s="27"/>
      <c r="H123" s="27"/>
      <c r="I123" s="17"/>
      <c r="J123" s="17"/>
      <c r="K123" s="38"/>
      <c r="L123" s="60"/>
      <c r="M123" s="13"/>
      <c r="N123" s="17"/>
      <c r="O123" s="17"/>
      <c r="P123" s="17"/>
      <c r="Q123" s="29"/>
      <c r="R123" s="29"/>
      <c r="S123" s="17"/>
      <c r="T123" s="17"/>
      <c r="U123" s="13"/>
      <c r="V123" s="17"/>
      <c r="W123" s="17"/>
      <c r="X123" s="17"/>
      <c r="Y123" s="17"/>
      <c r="Z123" s="17"/>
      <c r="AA123" s="17"/>
      <c r="AB123" s="17"/>
      <c r="AC123" s="17"/>
      <c r="AD123" s="29"/>
      <c r="AE123" s="17"/>
      <c r="AF123" s="17"/>
      <c r="AG123" s="17"/>
      <c r="AH123" s="17"/>
      <c r="AI123" s="17"/>
      <c r="AJ123" s="17"/>
      <c r="AK123" s="17"/>
      <c r="AL123" s="17"/>
      <c r="AM123" s="17"/>
      <c r="AN123" s="18"/>
      <c r="AO123" s="18"/>
    </row>
    <row r="124" spans="1:41" ht="19.5" customHeight="1" x14ac:dyDescent="0.25">
      <c r="A124" s="10">
        <v>122</v>
      </c>
      <c r="B124" s="11"/>
      <c r="C124" s="17"/>
      <c r="D124" s="17"/>
      <c r="E124" s="17"/>
      <c r="F124" s="26"/>
      <c r="G124" s="27"/>
      <c r="H124" s="27"/>
      <c r="I124" s="17"/>
      <c r="J124" s="17"/>
      <c r="K124" s="38"/>
      <c r="L124" s="60"/>
      <c r="M124" s="13"/>
      <c r="N124" s="17"/>
      <c r="O124" s="17"/>
      <c r="P124" s="17"/>
      <c r="Q124" s="29"/>
      <c r="R124" s="29"/>
      <c r="S124" s="17"/>
      <c r="T124" s="17"/>
      <c r="U124" s="13"/>
      <c r="V124" s="17"/>
      <c r="W124" s="17"/>
      <c r="X124" s="17"/>
      <c r="Y124" s="17"/>
      <c r="Z124" s="17"/>
      <c r="AA124" s="17"/>
      <c r="AB124" s="17"/>
      <c r="AC124" s="17"/>
      <c r="AD124" s="29"/>
      <c r="AE124" s="17"/>
      <c r="AF124" s="17"/>
      <c r="AG124" s="17"/>
      <c r="AH124" s="17"/>
      <c r="AI124" s="17"/>
      <c r="AJ124" s="17"/>
      <c r="AK124" s="17"/>
      <c r="AL124" s="17"/>
      <c r="AM124" s="17"/>
      <c r="AN124" s="18"/>
      <c r="AO124" s="18"/>
    </row>
    <row r="125" spans="1:41" ht="30" customHeight="1" x14ac:dyDescent="0.25">
      <c r="A125" s="10">
        <v>123</v>
      </c>
      <c r="B125" s="11"/>
      <c r="C125" s="17"/>
      <c r="D125" s="17"/>
      <c r="E125" s="17"/>
      <c r="F125" s="26"/>
      <c r="G125" s="27"/>
      <c r="H125" s="27"/>
      <c r="I125" s="17"/>
      <c r="J125" s="17"/>
      <c r="K125" s="38"/>
      <c r="L125" s="60"/>
      <c r="M125" s="13"/>
      <c r="N125" s="17"/>
      <c r="O125" s="17"/>
      <c r="P125" s="17"/>
      <c r="Q125" s="29"/>
      <c r="R125" s="29"/>
      <c r="S125" s="17"/>
      <c r="T125" s="17"/>
      <c r="U125" s="13"/>
      <c r="V125" s="17"/>
      <c r="W125" s="17"/>
      <c r="X125" s="17"/>
      <c r="Y125" s="17"/>
      <c r="Z125" s="17"/>
      <c r="AA125" s="17"/>
      <c r="AB125" s="17"/>
      <c r="AC125" s="17"/>
      <c r="AD125" s="29"/>
      <c r="AE125" s="17"/>
      <c r="AF125" s="17"/>
      <c r="AG125" s="17"/>
      <c r="AH125" s="17"/>
      <c r="AI125" s="17"/>
      <c r="AJ125" s="17"/>
      <c r="AK125" s="17"/>
      <c r="AL125" s="17"/>
      <c r="AM125" s="17"/>
      <c r="AN125" s="18"/>
      <c r="AO125" s="18"/>
    </row>
    <row r="126" spans="1:41" ht="19.5" customHeight="1" x14ac:dyDescent="0.25">
      <c r="A126" s="10">
        <v>124</v>
      </c>
      <c r="B126" s="11"/>
      <c r="C126" s="17"/>
      <c r="D126" s="17"/>
      <c r="E126" s="17"/>
      <c r="F126" s="26"/>
      <c r="G126" s="27"/>
      <c r="H126" s="27"/>
      <c r="I126" s="17"/>
      <c r="J126" s="17"/>
      <c r="K126" s="38"/>
      <c r="L126" s="60"/>
      <c r="M126" s="13"/>
      <c r="N126" s="17"/>
      <c r="O126" s="17"/>
      <c r="P126" s="17"/>
      <c r="Q126" s="29"/>
      <c r="R126" s="29"/>
      <c r="S126" s="17"/>
      <c r="T126" s="17"/>
      <c r="U126" s="13"/>
      <c r="V126" s="17"/>
      <c r="W126" s="17"/>
      <c r="X126" s="17"/>
      <c r="Y126" s="17"/>
      <c r="Z126" s="17"/>
      <c r="AA126" s="17"/>
      <c r="AB126" s="17"/>
      <c r="AC126" s="17"/>
      <c r="AD126" s="29"/>
      <c r="AE126" s="17"/>
      <c r="AF126" s="17"/>
      <c r="AG126" s="17"/>
      <c r="AH126" s="17"/>
      <c r="AI126" s="17"/>
      <c r="AJ126" s="17"/>
      <c r="AK126" s="17"/>
      <c r="AL126" s="17"/>
      <c r="AM126" s="17"/>
      <c r="AN126" s="18"/>
      <c r="AO126" s="18"/>
    </row>
    <row r="127" spans="1:41" ht="43.5" customHeight="1" x14ac:dyDescent="0.25">
      <c r="A127" s="10">
        <v>125</v>
      </c>
      <c r="B127" s="11"/>
      <c r="C127" s="17"/>
      <c r="D127" s="17"/>
      <c r="E127" s="17"/>
      <c r="F127" s="26"/>
      <c r="G127" s="27"/>
      <c r="H127" s="27"/>
      <c r="I127" s="17"/>
      <c r="J127" s="17"/>
      <c r="K127" s="38"/>
      <c r="L127" s="60"/>
      <c r="M127" s="13"/>
      <c r="N127" s="17"/>
      <c r="O127" s="17"/>
      <c r="P127" s="17"/>
      <c r="Q127" s="29"/>
      <c r="R127" s="29"/>
      <c r="S127" s="17"/>
      <c r="T127" s="17"/>
      <c r="U127" s="13"/>
      <c r="V127" s="17"/>
      <c r="W127" s="17"/>
      <c r="X127" s="17"/>
      <c r="Y127" s="17"/>
      <c r="Z127" s="17"/>
      <c r="AA127" s="17"/>
      <c r="AB127" s="17"/>
      <c r="AC127" s="17"/>
      <c r="AD127" s="29"/>
      <c r="AE127" s="17"/>
      <c r="AF127" s="17"/>
      <c r="AG127" s="17"/>
      <c r="AH127" s="17"/>
      <c r="AI127" s="17"/>
      <c r="AJ127" s="17"/>
      <c r="AK127" s="17"/>
      <c r="AL127" s="17"/>
      <c r="AM127" s="17"/>
      <c r="AN127" s="18"/>
      <c r="AO127" s="18"/>
    </row>
    <row r="128" spans="1:41" ht="32.25" customHeight="1" x14ac:dyDescent="0.25">
      <c r="A128" s="10">
        <v>126</v>
      </c>
      <c r="B128" s="11"/>
      <c r="C128" s="17"/>
      <c r="D128" s="17"/>
      <c r="E128" s="17"/>
      <c r="F128" s="26"/>
      <c r="G128" s="27"/>
      <c r="H128" s="27"/>
      <c r="I128" s="17"/>
      <c r="J128" s="17"/>
      <c r="K128" s="38"/>
      <c r="L128" s="60"/>
      <c r="M128" s="13"/>
      <c r="N128" s="17"/>
      <c r="O128" s="17"/>
      <c r="P128" s="17"/>
      <c r="Q128" s="29"/>
      <c r="R128" s="29"/>
      <c r="S128" s="17"/>
      <c r="T128" s="17"/>
      <c r="U128" s="13"/>
      <c r="V128" s="17"/>
      <c r="W128" s="17"/>
      <c r="X128" s="17"/>
      <c r="Y128" s="17"/>
      <c r="Z128" s="17"/>
      <c r="AA128" s="17"/>
      <c r="AB128" s="17"/>
      <c r="AC128" s="17"/>
      <c r="AD128" s="29"/>
      <c r="AE128" s="17"/>
      <c r="AF128" s="17"/>
      <c r="AG128" s="17"/>
      <c r="AH128" s="17"/>
      <c r="AI128" s="17"/>
      <c r="AJ128" s="17"/>
      <c r="AK128" s="17"/>
      <c r="AL128" s="17"/>
      <c r="AM128" s="17"/>
      <c r="AN128" s="18"/>
      <c r="AO128" s="18"/>
    </row>
    <row r="129" spans="1:41" ht="27" customHeight="1" x14ac:dyDescent="0.25">
      <c r="A129" s="10">
        <v>127</v>
      </c>
      <c r="B129" s="11"/>
      <c r="C129" s="17"/>
      <c r="D129" s="17"/>
      <c r="E129" s="17"/>
      <c r="F129" s="26"/>
      <c r="G129" s="27"/>
      <c r="H129" s="27"/>
      <c r="I129" s="17"/>
      <c r="J129" s="17"/>
      <c r="K129" s="38"/>
      <c r="L129" s="60"/>
      <c r="M129" s="13"/>
      <c r="N129" s="17"/>
      <c r="O129" s="17"/>
      <c r="P129" s="17"/>
      <c r="Q129" s="29"/>
      <c r="R129" s="29"/>
      <c r="S129" s="17"/>
      <c r="T129" s="17"/>
      <c r="U129" s="13"/>
      <c r="V129" s="17"/>
      <c r="W129" s="17"/>
      <c r="X129" s="17"/>
      <c r="Y129" s="17"/>
      <c r="Z129" s="17"/>
      <c r="AA129" s="17"/>
      <c r="AB129" s="17"/>
      <c r="AC129" s="17"/>
      <c r="AD129" s="29"/>
      <c r="AE129" s="17"/>
      <c r="AF129" s="17"/>
      <c r="AG129" s="17"/>
      <c r="AH129" s="17"/>
      <c r="AI129" s="17"/>
      <c r="AJ129" s="17"/>
      <c r="AK129" s="17"/>
      <c r="AL129" s="17"/>
      <c r="AM129" s="17"/>
      <c r="AN129" s="18"/>
      <c r="AO129" s="18"/>
    </row>
    <row r="130" spans="1:41" ht="27" customHeight="1" x14ac:dyDescent="0.25">
      <c r="A130" s="10">
        <v>128</v>
      </c>
      <c r="B130" s="11"/>
      <c r="C130" s="17"/>
      <c r="D130" s="17"/>
      <c r="E130" s="17"/>
      <c r="F130" s="26"/>
      <c r="G130" s="27"/>
      <c r="H130" s="27"/>
      <c r="I130" s="17"/>
      <c r="J130" s="17"/>
      <c r="K130" s="38"/>
      <c r="L130" s="60"/>
      <c r="M130" s="13"/>
      <c r="N130" s="17"/>
      <c r="O130" s="17"/>
      <c r="P130" s="17"/>
      <c r="Q130" s="29"/>
      <c r="R130" s="29"/>
      <c r="S130" s="17"/>
      <c r="T130" s="17"/>
      <c r="U130" s="13"/>
      <c r="V130" s="17"/>
      <c r="W130" s="17"/>
      <c r="X130" s="17"/>
      <c r="Y130" s="17"/>
      <c r="Z130" s="17"/>
      <c r="AA130" s="17"/>
      <c r="AB130" s="17"/>
      <c r="AC130" s="17"/>
      <c r="AD130" s="29"/>
      <c r="AE130" s="17"/>
      <c r="AF130" s="17"/>
      <c r="AG130" s="17"/>
      <c r="AH130" s="17"/>
      <c r="AI130" s="17"/>
      <c r="AJ130" s="17"/>
      <c r="AK130" s="17"/>
      <c r="AL130" s="17"/>
      <c r="AM130" s="17"/>
      <c r="AN130" s="18"/>
      <c r="AO130" s="18"/>
    </row>
    <row r="131" spans="1:41" ht="18.75" customHeight="1" x14ac:dyDescent="0.25">
      <c r="A131" s="10">
        <v>129</v>
      </c>
      <c r="B131" s="11"/>
      <c r="C131" s="17"/>
      <c r="D131" s="17"/>
      <c r="E131" s="17"/>
      <c r="F131" s="26"/>
      <c r="G131" s="27"/>
      <c r="H131" s="27"/>
      <c r="I131" s="17"/>
      <c r="J131" s="17"/>
      <c r="K131" s="38"/>
      <c r="L131" s="60"/>
      <c r="M131" s="13"/>
      <c r="N131" s="17"/>
      <c r="O131" s="17"/>
      <c r="P131" s="17"/>
      <c r="Q131" s="29"/>
      <c r="R131" s="29"/>
      <c r="S131" s="17"/>
      <c r="T131" s="17"/>
      <c r="U131" s="13"/>
      <c r="V131" s="17"/>
      <c r="W131" s="17"/>
      <c r="X131" s="17"/>
      <c r="Y131" s="17"/>
      <c r="Z131" s="17"/>
      <c r="AA131" s="17"/>
      <c r="AB131" s="17"/>
      <c r="AC131" s="17"/>
      <c r="AD131" s="29"/>
      <c r="AE131" s="17"/>
      <c r="AF131" s="17"/>
      <c r="AG131" s="17"/>
      <c r="AH131" s="17"/>
      <c r="AI131" s="17"/>
      <c r="AJ131" s="17"/>
      <c r="AK131" s="17"/>
      <c r="AL131" s="17"/>
      <c r="AM131" s="17"/>
      <c r="AN131" s="18"/>
      <c r="AO131" s="18"/>
    </row>
    <row r="132" spans="1:41" ht="28.5" customHeight="1" x14ac:dyDescent="0.25">
      <c r="A132" s="10">
        <v>130</v>
      </c>
      <c r="B132" s="11"/>
      <c r="C132" s="17"/>
      <c r="D132" s="17"/>
      <c r="E132" s="17"/>
      <c r="F132" s="26"/>
      <c r="G132" s="27"/>
      <c r="H132" s="27"/>
      <c r="I132" s="17"/>
      <c r="J132" s="17"/>
      <c r="K132" s="38"/>
      <c r="L132" s="60"/>
      <c r="M132" s="13"/>
      <c r="N132" s="17"/>
      <c r="O132" s="17"/>
      <c r="P132" s="17"/>
      <c r="Q132" s="29"/>
      <c r="R132" s="29"/>
      <c r="S132" s="17"/>
      <c r="T132" s="17"/>
      <c r="U132" s="13"/>
      <c r="V132" s="17"/>
      <c r="W132" s="17"/>
      <c r="X132" s="17"/>
      <c r="Y132" s="17"/>
      <c r="Z132" s="17"/>
      <c r="AA132" s="17"/>
      <c r="AB132" s="17"/>
      <c r="AC132" s="17"/>
      <c r="AD132" s="29"/>
      <c r="AE132" s="17"/>
      <c r="AF132" s="17"/>
      <c r="AG132" s="17"/>
      <c r="AH132" s="17"/>
      <c r="AI132" s="17"/>
      <c r="AJ132" s="17"/>
      <c r="AK132" s="17"/>
      <c r="AL132" s="17"/>
      <c r="AM132" s="17"/>
      <c r="AN132" s="18"/>
      <c r="AO132" s="18"/>
    </row>
    <row r="133" spans="1:41" ht="24" customHeight="1" x14ac:dyDescent="0.25">
      <c r="A133" s="10">
        <v>131</v>
      </c>
      <c r="B133" s="11"/>
      <c r="C133" s="17"/>
      <c r="D133" s="17"/>
      <c r="E133" s="17"/>
      <c r="F133" s="26"/>
      <c r="G133" s="27"/>
      <c r="H133" s="27"/>
      <c r="I133" s="17"/>
      <c r="J133" s="17"/>
      <c r="K133" s="38"/>
      <c r="L133" s="60"/>
      <c r="M133" s="13"/>
      <c r="N133" s="17"/>
      <c r="O133" s="17"/>
      <c r="P133" s="17"/>
      <c r="Q133" s="29"/>
      <c r="R133" s="29"/>
      <c r="S133" s="17"/>
      <c r="T133" s="17"/>
      <c r="U133" s="13"/>
      <c r="V133" s="17"/>
      <c r="W133" s="17"/>
      <c r="X133" s="17"/>
      <c r="Y133" s="17"/>
      <c r="Z133" s="17"/>
      <c r="AA133" s="17"/>
      <c r="AB133" s="17"/>
      <c r="AC133" s="17"/>
      <c r="AD133" s="29"/>
      <c r="AE133" s="17"/>
      <c r="AF133" s="17"/>
      <c r="AG133" s="17"/>
      <c r="AH133" s="17"/>
      <c r="AI133" s="17"/>
      <c r="AJ133" s="17"/>
      <c r="AK133" s="17"/>
      <c r="AL133" s="17"/>
      <c r="AM133" s="17"/>
      <c r="AN133" s="18"/>
      <c r="AO133" s="18"/>
    </row>
    <row r="134" spans="1:41" ht="30.75" customHeight="1" x14ac:dyDescent="0.25">
      <c r="A134" s="10">
        <v>132</v>
      </c>
      <c r="B134" s="11"/>
      <c r="C134" s="17"/>
      <c r="D134" s="17"/>
      <c r="E134" s="17"/>
      <c r="F134" s="26"/>
      <c r="G134" s="27"/>
      <c r="H134" s="27"/>
      <c r="I134" s="17"/>
      <c r="J134" s="17"/>
      <c r="K134" s="38"/>
      <c r="L134" s="60"/>
      <c r="M134" s="13"/>
      <c r="N134" s="17"/>
      <c r="O134" s="17"/>
      <c r="P134" s="17"/>
      <c r="Q134" s="29"/>
      <c r="R134" s="29"/>
      <c r="S134" s="17"/>
      <c r="T134" s="17"/>
      <c r="U134" s="13"/>
      <c r="V134" s="17"/>
      <c r="W134" s="17"/>
      <c r="X134" s="17"/>
      <c r="Y134" s="17"/>
      <c r="Z134" s="17"/>
      <c r="AA134" s="17"/>
      <c r="AB134" s="17"/>
      <c r="AC134" s="17"/>
      <c r="AD134" s="29"/>
      <c r="AE134" s="17"/>
      <c r="AF134" s="17"/>
      <c r="AG134" s="17"/>
      <c r="AH134" s="17"/>
      <c r="AI134" s="17"/>
      <c r="AJ134" s="17"/>
      <c r="AK134" s="17"/>
      <c r="AL134" s="17"/>
      <c r="AM134" s="17"/>
      <c r="AN134" s="18"/>
      <c r="AO134" s="18"/>
    </row>
    <row r="135" spans="1:41" ht="24.75" customHeight="1" x14ac:dyDescent="0.25">
      <c r="A135" s="10">
        <v>133</v>
      </c>
      <c r="B135" s="11"/>
      <c r="C135" s="17"/>
      <c r="D135" s="17"/>
      <c r="E135" s="17"/>
      <c r="F135" s="26"/>
      <c r="G135" s="27"/>
      <c r="H135" s="27"/>
      <c r="I135" s="17"/>
      <c r="J135" s="17"/>
      <c r="K135" s="38"/>
      <c r="L135" s="60"/>
      <c r="M135" s="13"/>
      <c r="N135" s="17"/>
      <c r="O135" s="17"/>
      <c r="P135" s="17"/>
      <c r="Q135" s="29"/>
      <c r="R135" s="29"/>
      <c r="S135" s="17"/>
      <c r="T135" s="17"/>
      <c r="U135" s="13"/>
      <c r="V135" s="17"/>
      <c r="W135" s="17"/>
      <c r="X135" s="17"/>
      <c r="Y135" s="17"/>
      <c r="Z135" s="17"/>
      <c r="AA135" s="17"/>
      <c r="AB135" s="17"/>
      <c r="AC135" s="17"/>
      <c r="AD135" s="29"/>
      <c r="AE135" s="17"/>
      <c r="AF135" s="17"/>
      <c r="AG135" s="17"/>
      <c r="AH135" s="17"/>
      <c r="AI135" s="17"/>
      <c r="AJ135" s="17"/>
      <c r="AK135" s="17"/>
      <c r="AL135" s="17"/>
      <c r="AM135" s="17"/>
      <c r="AN135" s="18"/>
      <c r="AO135" s="18"/>
    </row>
    <row r="136" spans="1:41" ht="32.25" customHeight="1" x14ac:dyDescent="0.25">
      <c r="A136" s="10">
        <v>134</v>
      </c>
      <c r="B136" s="11"/>
      <c r="C136" s="17"/>
      <c r="D136" s="17"/>
      <c r="E136" s="17"/>
      <c r="F136" s="26"/>
      <c r="G136" s="27"/>
      <c r="H136" s="27"/>
      <c r="I136" s="17"/>
      <c r="J136" s="17"/>
      <c r="K136" s="38"/>
      <c r="L136" s="60"/>
      <c r="M136" s="13"/>
      <c r="N136" s="17"/>
      <c r="O136" s="17"/>
      <c r="P136" s="17"/>
      <c r="Q136" s="29"/>
      <c r="R136" s="29"/>
      <c r="S136" s="17"/>
      <c r="T136" s="17"/>
      <c r="U136" s="13"/>
      <c r="V136" s="17"/>
      <c r="W136" s="17"/>
      <c r="X136" s="17"/>
      <c r="Y136" s="17"/>
      <c r="Z136" s="17"/>
      <c r="AA136" s="17"/>
      <c r="AB136" s="17"/>
      <c r="AC136" s="17"/>
      <c r="AD136" s="29"/>
      <c r="AE136" s="17"/>
      <c r="AF136" s="17"/>
      <c r="AG136" s="17"/>
      <c r="AH136" s="17"/>
      <c r="AI136" s="17"/>
      <c r="AJ136" s="17"/>
      <c r="AK136" s="17"/>
      <c r="AL136" s="17"/>
      <c r="AM136" s="17"/>
      <c r="AN136" s="18"/>
      <c r="AO136" s="18"/>
    </row>
    <row r="137" spans="1:41" ht="27" customHeight="1" x14ac:dyDescent="0.25">
      <c r="A137" s="10">
        <v>135</v>
      </c>
      <c r="B137" s="11"/>
      <c r="C137" s="17"/>
      <c r="D137" s="17"/>
      <c r="E137" s="17"/>
      <c r="F137" s="26"/>
      <c r="G137" s="27"/>
      <c r="H137" s="27"/>
      <c r="I137" s="17"/>
      <c r="J137" s="17"/>
      <c r="K137" s="38"/>
      <c r="L137" s="60"/>
      <c r="M137" s="13"/>
      <c r="N137" s="17"/>
      <c r="O137" s="17"/>
      <c r="P137" s="17"/>
      <c r="Q137" s="29"/>
      <c r="R137" s="29"/>
      <c r="S137" s="17"/>
      <c r="T137" s="17"/>
      <c r="U137" s="13"/>
      <c r="V137" s="17"/>
      <c r="W137" s="17"/>
      <c r="X137" s="17"/>
      <c r="Y137" s="17"/>
      <c r="Z137" s="17"/>
      <c r="AA137" s="17"/>
      <c r="AB137" s="17"/>
      <c r="AC137" s="17"/>
      <c r="AD137" s="29"/>
      <c r="AE137" s="17"/>
      <c r="AF137" s="17"/>
      <c r="AG137" s="17"/>
      <c r="AH137" s="17"/>
      <c r="AI137" s="17"/>
      <c r="AJ137" s="17"/>
      <c r="AK137" s="17"/>
      <c r="AL137" s="17"/>
      <c r="AM137" s="17"/>
      <c r="AN137" s="18"/>
      <c r="AO137" s="18"/>
    </row>
    <row r="138" spans="1:41" ht="30" customHeight="1" x14ac:dyDescent="0.25">
      <c r="A138" s="10">
        <v>136</v>
      </c>
      <c r="B138" s="11"/>
      <c r="C138" s="17"/>
      <c r="D138" s="17"/>
      <c r="E138" s="17"/>
      <c r="F138" s="26"/>
      <c r="G138" s="27"/>
      <c r="H138" s="27"/>
      <c r="I138" s="17"/>
      <c r="J138" s="17"/>
      <c r="K138" s="38"/>
      <c r="L138" s="60"/>
      <c r="M138" s="13"/>
      <c r="N138" s="17"/>
      <c r="O138" s="17"/>
      <c r="P138" s="17"/>
      <c r="Q138" s="29"/>
      <c r="R138" s="29"/>
      <c r="S138" s="17"/>
      <c r="T138" s="17"/>
      <c r="U138" s="13"/>
      <c r="V138" s="17"/>
      <c r="W138" s="17"/>
      <c r="X138" s="17"/>
      <c r="Y138" s="17"/>
      <c r="Z138" s="17"/>
      <c r="AA138" s="17"/>
      <c r="AB138" s="17"/>
      <c r="AC138" s="17"/>
      <c r="AD138" s="29"/>
      <c r="AE138" s="17"/>
      <c r="AF138" s="17"/>
      <c r="AG138" s="17"/>
      <c r="AH138" s="17"/>
      <c r="AI138" s="17"/>
      <c r="AJ138" s="17"/>
      <c r="AK138" s="17"/>
      <c r="AL138" s="17"/>
      <c r="AM138" s="17"/>
      <c r="AN138" s="18"/>
      <c r="AO138" s="18"/>
    </row>
    <row r="139" spans="1:41" ht="24.75" customHeight="1" x14ac:dyDescent="0.25">
      <c r="A139" s="10">
        <v>137</v>
      </c>
      <c r="B139" s="11"/>
      <c r="C139" s="17"/>
      <c r="D139" s="17"/>
      <c r="E139" s="17"/>
      <c r="F139" s="26"/>
      <c r="G139" s="27"/>
      <c r="H139" s="27"/>
      <c r="I139" s="17"/>
      <c r="J139" s="17"/>
      <c r="K139" s="38"/>
      <c r="L139" s="60"/>
      <c r="M139" s="13"/>
      <c r="N139" s="17"/>
      <c r="O139" s="17"/>
      <c r="P139" s="17"/>
      <c r="Q139" s="29"/>
      <c r="R139" s="29"/>
      <c r="S139" s="17"/>
      <c r="T139" s="17"/>
      <c r="U139" s="13"/>
      <c r="V139" s="17"/>
      <c r="W139" s="17"/>
      <c r="X139" s="17"/>
      <c r="Y139" s="17"/>
      <c r="Z139" s="17"/>
      <c r="AA139" s="17"/>
      <c r="AB139" s="17"/>
      <c r="AC139" s="17"/>
      <c r="AD139" s="29"/>
      <c r="AE139" s="17"/>
      <c r="AF139" s="17"/>
      <c r="AG139" s="17"/>
      <c r="AH139" s="17"/>
      <c r="AI139" s="17"/>
      <c r="AJ139" s="17"/>
      <c r="AK139" s="17"/>
      <c r="AL139" s="17"/>
      <c r="AM139" s="17"/>
      <c r="AN139" s="18"/>
      <c r="AO139" s="18"/>
    </row>
    <row r="140" spans="1:41" ht="27" customHeight="1" x14ac:dyDescent="0.25">
      <c r="A140" s="10">
        <v>138</v>
      </c>
      <c r="B140" s="11"/>
      <c r="C140" s="17"/>
      <c r="D140" s="17"/>
      <c r="E140" s="17"/>
      <c r="F140" s="26"/>
      <c r="G140" s="27"/>
      <c r="H140" s="27"/>
      <c r="I140" s="17"/>
      <c r="J140" s="17"/>
      <c r="K140" s="38"/>
      <c r="L140" s="60"/>
      <c r="M140" s="13"/>
      <c r="N140" s="17"/>
      <c r="O140" s="17"/>
      <c r="P140" s="17"/>
      <c r="Q140" s="29"/>
      <c r="R140" s="29"/>
      <c r="S140" s="17"/>
      <c r="T140" s="17"/>
      <c r="U140" s="13"/>
      <c r="V140" s="17"/>
      <c r="W140" s="17"/>
      <c r="X140" s="17"/>
      <c r="Y140" s="17"/>
      <c r="Z140" s="17"/>
      <c r="AA140" s="17"/>
      <c r="AB140" s="17"/>
      <c r="AC140" s="17"/>
      <c r="AD140" s="29"/>
      <c r="AE140" s="17"/>
      <c r="AF140" s="17"/>
      <c r="AG140" s="17"/>
      <c r="AH140" s="17"/>
      <c r="AI140" s="17"/>
      <c r="AJ140" s="17"/>
      <c r="AK140" s="17"/>
      <c r="AL140" s="17"/>
      <c r="AM140" s="17"/>
      <c r="AN140" s="18"/>
      <c r="AO140" s="18"/>
    </row>
    <row r="141" spans="1:41" ht="34.5" customHeight="1" x14ac:dyDescent="0.25">
      <c r="A141" s="10">
        <v>139</v>
      </c>
      <c r="B141" s="11"/>
      <c r="C141" s="17"/>
      <c r="D141" s="17"/>
      <c r="E141" s="17"/>
      <c r="F141" s="26"/>
      <c r="G141" s="27"/>
      <c r="H141" s="27"/>
      <c r="I141" s="17"/>
      <c r="J141" s="17"/>
      <c r="K141" s="38"/>
      <c r="L141" s="60"/>
      <c r="M141" s="13"/>
      <c r="N141" s="17"/>
      <c r="O141" s="17"/>
      <c r="P141" s="17"/>
      <c r="Q141" s="29"/>
      <c r="R141" s="29"/>
      <c r="S141" s="17"/>
      <c r="T141" s="17"/>
      <c r="U141" s="13"/>
      <c r="V141" s="17"/>
      <c r="W141" s="17"/>
      <c r="X141" s="17"/>
      <c r="Y141" s="17"/>
      <c r="Z141" s="17"/>
      <c r="AA141" s="17"/>
      <c r="AB141" s="17"/>
      <c r="AC141" s="17"/>
      <c r="AD141" s="29"/>
      <c r="AE141" s="17"/>
      <c r="AF141" s="17"/>
      <c r="AG141" s="17"/>
      <c r="AH141" s="17"/>
      <c r="AI141" s="17"/>
      <c r="AJ141" s="17"/>
      <c r="AK141" s="17"/>
      <c r="AL141" s="17"/>
      <c r="AM141" s="17"/>
      <c r="AN141" s="18"/>
      <c r="AO141" s="18"/>
    </row>
    <row r="142" spans="1:41" ht="40.5" customHeight="1" x14ac:dyDescent="0.25">
      <c r="A142" s="10">
        <v>140</v>
      </c>
      <c r="B142" s="11"/>
      <c r="C142" s="17"/>
      <c r="D142" s="17"/>
      <c r="E142" s="17"/>
      <c r="F142" s="26"/>
      <c r="G142" s="27"/>
      <c r="H142" s="27"/>
      <c r="I142" s="17"/>
      <c r="J142" s="17"/>
      <c r="K142" s="38"/>
      <c r="L142" s="60"/>
      <c r="M142" s="13"/>
      <c r="N142" s="17"/>
      <c r="O142" s="17"/>
      <c r="P142" s="17"/>
      <c r="Q142" s="29"/>
      <c r="R142" s="29"/>
      <c r="S142" s="17"/>
      <c r="T142" s="17"/>
      <c r="U142" s="13"/>
      <c r="V142" s="17"/>
      <c r="W142" s="17"/>
      <c r="X142" s="17"/>
      <c r="Y142" s="17"/>
      <c r="Z142" s="17"/>
      <c r="AA142" s="17"/>
      <c r="AB142" s="17"/>
      <c r="AC142" s="17"/>
      <c r="AD142" s="29"/>
      <c r="AE142" s="17"/>
      <c r="AF142" s="17"/>
      <c r="AG142" s="17"/>
      <c r="AH142" s="17"/>
      <c r="AI142" s="17"/>
      <c r="AJ142" s="17"/>
      <c r="AK142" s="17"/>
      <c r="AL142" s="17"/>
      <c r="AM142" s="17"/>
      <c r="AN142" s="18"/>
      <c r="AO142" s="18"/>
    </row>
    <row r="143" spans="1:41" ht="25.5" customHeight="1" x14ac:dyDescent="0.25">
      <c r="A143" s="10">
        <v>141</v>
      </c>
      <c r="B143" s="11"/>
      <c r="C143" s="17"/>
      <c r="D143" s="17"/>
      <c r="E143" s="17"/>
      <c r="F143" s="26"/>
      <c r="G143" s="27"/>
      <c r="H143" s="27"/>
      <c r="I143" s="17"/>
      <c r="J143" s="17"/>
      <c r="K143" s="38"/>
      <c r="L143" s="60"/>
      <c r="M143" s="13"/>
      <c r="N143" s="17"/>
      <c r="O143" s="17"/>
      <c r="P143" s="17"/>
      <c r="Q143" s="29"/>
      <c r="R143" s="29"/>
      <c r="S143" s="17"/>
      <c r="T143" s="17"/>
      <c r="U143" s="13"/>
      <c r="V143" s="17"/>
      <c r="W143" s="17"/>
      <c r="X143" s="17"/>
      <c r="Y143" s="17"/>
      <c r="Z143" s="17"/>
      <c r="AA143" s="17"/>
      <c r="AB143" s="17"/>
      <c r="AC143" s="17"/>
      <c r="AD143" s="29"/>
      <c r="AE143" s="17"/>
      <c r="AF143" s="17"/>
      <c r="AG143" s="17"/>
      <c r="AH143" s="17"/>
      <c r="AI143" s="17"/>
      <c r="AJ143" s="17"/>
      <c r="AK143" s="17"/>
      <c r="AL143" s="17"/>
      <c r="AM143" s="17"/>
      <c r="AN143" s="18"/>
      <c r="AO143" s="18"/>
    </row>
    <row r="144" spans="1:41" ht="40.5" customHeight="1" x14ac:dyDescent="0.25">
      <c r="A144" s="10">
        <v>142</v>
      </c>
      <c r="B144" s="11"/>
      <c r="C144" s="17"/>
      <c r="D144" s="17"/>
      <c r="E144" s="17"/>
      <c r="F144" s="26"/>
      <c r="G144" s="27"/>
      <c r="H144" s="27"/>
      <c r="I144" s="17"/>
      <c r="J144" s="17"/>
      <c r="K144" s="38"/>
      <c r="L144" s="60"/>
      <c r="M144" s="13"/>
      <c r="N144" s="17"/>
      <c r="O144" s="17"/>
      <c r="P144" s="17"/>
      <c r="Q144" s="29"/>
      <c r="R144" s="29"/>
      <c r="S144" s="17"/>
      <c r="T144" s="17"/>
      <c r="U144" s="13"/>
      <c r="V144" s="17"/>
      <c r="W144" s="17"/>
      <c r="X144" s="17"/>
      <c r="Y144" s="17"/>
      <c r="Z144" s="17"/>
      <c r="AA144" s="17"/>
      <c r="AB144" s="17"/>
      <c r="AC144" s="17"/>
      <c r="AD144" s="29"/>
      <c r="AE144" s="17"/>
      <c r="AF144" s="17"/>
      <c r="AG144" s="17"/>
      <c r="AH144" s="17"/>
      <c r="AI144" s="17"/>
      <c r="AJ144" s="17"/>
      <c r="AK144" s="17"/>
      <c r="AL144" s="17"/>
      <c r="AM144" s="17"/>
      <c r="AN144" s="18"/>
      <c r="AO144" s="18"/>
    </row>
    <row r="145" spans="1:41" ht="28.5" customHeight="1" x14ac:dyDescent="0.25">
      <c r="A145" s="10">
        <v>143</v>
      </c>
      <c r="B145" s="11"/>
      <c r="C145" s="17"/>
      <c r="D145" s="17"/>
      <c r="E145" s="17"/>
      <c r="F145" s="26"/>
      <c r="G145" s="27"/>
      <c r="H145" s="27"/>
      <c r="I145" s="17"/>
      <c r="J145" s="17"/>
      <c r="K145" s="38"/>
      <c r="L145" s="60"/>
      <c r="M145" s="13"/>
      <c r="N145" s="17"/>
      <c r="O145" s="17"/>
      <c r="P145" s="17"/>
      <c r="Q145" s="29"/>
      <c r="R145" s="29"/>
      <c r="S145" s="17"/>
      <c r="T145" s="17"/>
      <c r="U145" s="13"/>
      <c r="V145" s="17"/>
      <c r="W145" s="17"/>
      <c r="X145" s="17"/>
      <c r="Y145" s="17"/>
      <c r="Z145" s="17"/>
      <c r="AA145" s="17"/>
      <c r="AB145" s="17"/>
      <c r="AC145" s="17"/>
      <c r="AD145" s="29"/>
      <c r="AE145" s="17"/>
      <c r="AF145" s="17"/>
      <c r="AG145" s="17"/>
      <c r="AH145" s="17"/>
      <c r="AI145" s="17"/>
      <c r="AJ145" s="17"/>
      <c r="AK145" s="17"/>
      <c r="AL145" s="17"/>
      <c r="AM145" s="17"/>
      <c r="AN145" s="18"/>
      <c r="AO145" s="18"/>
    </row>
    <row r="146" spans="1:41" ht="28.5" customHeight="1" x14ac:dyDescent="0.25">
      <c r="A146" s="10">
        <v>144</v>
      </c>
      <c r="B146" s="11"/>
      <c r="C146" s="17"/>
      <c r="D146" s="17"/>
      <c r="E146" s="17"/>
      <c r="F146" s="26"/>
      <c r="G146" s="27"/>
      <c r="H146" s="27"/>
      <c r="I146" s="17"/>
      <c r="J146" s="17"/>
      <c r="K146" s="38"/>
      <c r="L146" s="60"/>
      <c r="M146" s="13"/>
      <c r="N146" s="17"/>
      <c r="O146" s="17"/>
      <c r="P146" s="17"/>
      <c r="Q146" s="29"/>
      <c r="R146" s="29"/>
      <c r="S146" s="17"/>
      <c r="T146" s="17"/>
      <c r="U146" s="13"/>
      <c r="V146" s="17"/>
      <c r="W146" s="17"/>
      <c r="X146" s="17"/>
      <c r="Y146" s="17"/>
      <c r="Z146" s="17"/>
      <c r="AA146" s="17"/>
      <c r="AB146" s="17"/>
      <c r="AC146" s="17"/>
      <c r="AD146" s="29"/>
      <c r="AE146" s="17"/>
      <c r="AF146" s="17"/>
      <c r="AG146" s="17"/>
      <c r="AH146" s="17"/>
      <c r="AI146" s="17"/>
      <c r="AJ146" s="17"/>
      <c r="AK146" s="17"/>
      <c r="AL146" s="17"/>
      <c r="AM146" s="17"/>
      <c r="AN146" s="18"/>
      <c r="AO146" s="18"/>
    </row>
    <row r="147" spans="1:41" ht="33" customHeight="1" x14ac:dyDescent="0.25">
      <c r="A147" s="10">
        <v>145</v>
      </c>
      <c r="B147" s="11"/>
      <c r="C147" s="17"/>
      <c r="D147" s="17"/>
      <c r="E147" s="17"/>
      <c r="F147" s="26"/>
      <c r="G147" s="27"/>
      <c r="H147" s="27"/>
      <c r="I147" s="17"/>
      <c r="J147" s="17"/>
      <c r="K147" s="38"/>
      <c r="L147" s="60"/>
      <c r="M147" s="13"/>
      <c r="N147" s="17"/>
      <c r="O147" s="17"/>
      <c r="P147" s="17"/>
      <c r="Q147" s="29"/>
      <c r="R147" s="29"/>
      <c r="S147" s="17"/>
      <c r="T147" s="17"/>
      <c r="U147" s="13"/>
      <c r="V147" s="17"/>
      <c r="W147" s="17"/>
      <c r="X147" s="17"/>
      <c r="Y147" s="17"/>
      <c r="Z147" s="17"/>
      <c r="AA147" s="17"/>
      <c r="AB147" s="17"/>
      <c r="AC147" s="17"/>
      <c r="AD147" s="29"/>
      <c r="AE147" s="17"/>
      <c r="AF147" s="17"/>
      <c r="AG147" s="17"/>
      <c r="AH147" s="17"/>
      <c r="AI147" s="17"/>
      <c r="AJ147" s="17"/>
      <c r="AK147" s="17"/>
      <c r="AL147" s="17"/>
      <c r="AM147" s="17"/>
      <c r="AN147" s="18"/>
      <c r="AO147" s="18"/>
    </row>
    <row r="148" spans="1:41" ht="28.5" customHeight="1" x14ac:dyDescent="0.25">
      <c r="A148" s="10">
        <v>146</v>
      </c>
      <c r="B148" s="11"/>
      <c r="C148" s="17"/>
      <c r="D148" s="17"/>
      <c r="E148" s="17"/>
      <c r="F148" s="26"/>
      <c r="G148" s="27"/>
      <c r="H148" s="27"/>
      <c r="I148" s="17"/>
      <c r="J148" s="17"/>
      <c r="K148" s="38"/>
      <c r="L148" s="60"/>
      <c r="M148" s="13"/>
      <c r="N148" s="17"/>
      <c r="O148" s="17"/>
      <c r="P148" s="17"/>
      <c r="Q148" s="29"/>
      <c r="R148" s="29"/>
      <c r="S148" s="17"/>
      <c r="T148" s="17"/>
      <c r="U148" s="13"/>
      <c r="V148" s="17"/>
      <c r="W148" s="17"/>
      <c r="X148" s="17"/>
      <c r="Y148" s="17"/>
      <c r="Z148" s="17"/>
      <c r="AA148" s="17"/>
      <c r="AB148" s="17"/>
      <c r="AC148" s="17"/>
      <c r="AD148" s="29"/>
      <c r="AE148" s="17"/>
      <c r="AF148" s="17"/>
      <c r="AG148" s="17"/>
      <c r="AH148" s="17"/>
      <c r="AI148" s="17"/>
      <c r="AJ148" s="17"/>
      <c r="AK148" s="17"/>
      <c r="AL148" s="17"/>
      <c r="AM148" s="17"/>
      <c r="AN148" s="18"/>
      <c r="AO148" s="18"/>
    </row>
    <row r="149" spans="1:41" ht="27.75" customHeight="1" x14ac:dyDescent="0.25">
      <c r="A149" s="10">
        <v>147</v>
      </c>
      <c r="B149" s="11"/>
      <c r="C149" s="17"/>
      <c r="D149" s="17"/>
      <c r="E149" s="17"/>
      <c r="F149" s="26"/>
      <c r="G149" s="27"/>
      <c r="H149" s="27"/>
      <c r="I149" s="17"/>
      <c r="J149" s="17"/>
      <c r="K149" s="38"/>
      <c r="L149" s="60"/>
      <c r="M149" s="13"/>
      <c r="N149" s="17"/>
      <c r="O149" s="17"/>
      <c r="P149" s="17"/>
      <c r="Q149" s="29"/>
      <c r="R149" s="29"/>
      <c r="S149" s="17"/>
      <c r="T149" s="17"/>
      <c r="U149" s="13"/>
      <c r="V149" s="17"/>
      <c r="W149" s="17"/>
      <c r="X149" s="17"/>
      <c r="Y149" s="17"/>
      <c r="Z149" s="17"/>
      <c r="AA149" s="17"/>
      <c r="AB149" s="17"/>
      <c r="AC149" s="17"/>
      <c r="AD149" s="29"/>
      <c r="AE149" s="17"/>
      <c r="AF149" s="17"/>
      <c r="AG149" s="17"/>
      <c r="AH149" s="17"/>
      <c r="AI149" s="17"/>
      <c r="AJ149" s="17"/>
      <c r="AK149" s="17"/>
      <c r="AL149" s="17"/>
      <c r="AM149" s="17"/>
      <c r="AN149" s="18"/>
      <c r="AO149" s="18"/>
    </row>
    <row r="150" spans="1:41" ht="33.75" customHeight="1" x14ac:dyDescent="0.25">
      <c r="A150" s="10">
        <v>148</v>
      </c>
      <c r="B150" s="11"/>
      <c r="C150" s="17"/>
      <c r="D150" s="17"/>
      <c r="E150" s="17"/>
      <c r="F150" s="26"/>
      <c r="G150" s="27"/>
      <c r="H150" s="27"/>
      <c r="I150" s="17"/>
      <c r="J150" s="17"/>
      <c r="K150" s="38"/>
      <c r="L150" s="60"/>
      <c r="M150" s="13"/>
      <c r="N150" s="17"/>
      <c r="O150" s="17"/>
      <c r="P150" s="17"/>
      <c r="Q150" s="29"/>
      <c r="R150" s="29"/>
      <c r="S150" s="17"/>
      <c r="T150" s="17"/>
      <c r="U150" s="13"/>
      <c r="V150" s="17"/>
      <c r="W150" s="17"/>
      <c r="X150" s="17"/>
      <c r="Y150" s="17"/>
      <c r="Z150" s="17"/>
      <c r="AA150" s="17"/>
      <c r="AB150" s="17"/>
      <c r="AC150" s="17"/>
      <c r="AD150" s="29"/>
      <c r="AE150" s="17"/>
      <c r="AF150" s="17"/>
      <c r="AG150" s="17"/>
      <c r="AH150" s="17"/>
      <c r="AI150" s="17"/>
      <c r="AJ150" s="17"/>
      <c r="AK150" s="17"/>
      <c r="AL150" s="17"/>
      <c r="AM150" s="17"/>
      <c r="AN150" s="18"/>
      <c r="AO150" s="18"/>
    </row>
    <row r="151" spans="1:41" ht="31.5" customHeight="1" x14ac:dyDescent="0.25">
      <c r="A151" s="10">
        <v>149</v>
      </c>
      <c r="B151" s="11"/>
      <c r="C151" s="17"/>
      <c r="D151" s="17"/>
      <c r="E151" s="17"/>
      <c r="F151" s="26"/>
      <c r="G151" s="27"/>
      <c r="H151" s="27"/>
      <c r="I151" s="17"/>
      <c r="J151" s="17"/>
      <c r="K151" s="38"/>
      <c r="L151" s="60"/>
      <c r="M151" s="13"/>
      <c r="N151" s="17"/>
      <c r="O151" s="17"/>
      <c r="P151" s="17"/>
      <c r="Q151" s="29"/>
      <c r="R151" s="29"/>
      <c r="S151" s="17"/>
      <c r="T151" s="17"/>
      <c r="U151" s="13"/>
      <c r="V151" s="17"/>
      <c r="W151" s="17"/>
      <c r="X151" s="17"/>
      <c r="Y151" s="17"/>
      <c r="Z151" s="17"/>
      <c r="AA151" s="17"/>
      <c r="AB151" s="17"/>
      <c r="AC151" s="17"/>
      <c r="AD151" s="29"/>
      <c r="AE151" s="17"/>
      <c r="AF151" s="17"/>
      <c r="AG151" s="17"/>
      <c r="AH151" s="17"/>
      <c r="AI151" s="17"/>
      <c r="AJ151" s="17"/>
      <c r="AK151" s="17"/>
      <c r="AL151" s="17"/>
      <c r="AM151" s="17"/>
      <c r="AN151" s="18"/>
      <c r="AO151" s="18"/>
    </row>
    <row r="152" spans="1:41" ht="27.75" customHeight="1" x14ac:dyDescent="0.25">
      <c r="A152" s="10">
        <v>150</v>
      </c>
      <c r="B152" s="11"/>
      <c r="C152" s="17"/>
      <c r="D152" s="17"/>
      <c r="E152" s="17"/>
      <c r="F152" s="26"/>
      <c r="G152" s="27"/>
      <c r="H152" s="27"/>
      <c r="I152" s="17"/>
      <c r="J152" s="17"/>
      <c r="K152" s="38"/>
      <c r="L152" s="60"/>
      <c r="M152" s="13"/>
      <c r="N152" s="17"/>
      <c r="O152" s="17"/>
      <c r="P152" s="17"/>
      <c r="Q152" s="29"/>
      <c r="R152" s="29"/>
      <c r="S152" s="17"/>
      <c r="T152" s="17"/>
      <c r="U152" s="13"/>
      <c r="V152" s="17"/>
      <c r="W152" s="17"/>
      <c r="X152" s="17"/>
      <c r="Y152" s="17"/>
      <c r="Z152" s="17"/>
      <c r="AA152" s="17"/>
      <c r="AB152" s="17"/>
      <c r="AC152" s="17"/>
      <c r="AD152" s="29"/>
      <c r="AE152" s="17"/>
      <c r="AF152" s="17"/>
      <c r="AG152" s="17"/>
      <c r="AH152" s="17"/>
      <c r="AI152" s="17"/>
      <c r="AJ152" s="17"/>
      <c r="AK152" s="17"/>
      <c r="AL152" s="17"/>
      <c r="AM152" s="17"/>
      <c r="AN152" s="18"/>
      <c r="AO152" s="18"/>
    </row>
    <row r="153" spans="1:41" ht="18" customHeight="1" x14ac:dyDescent="0.25">
      <c r="A153" s="10">
        <v>151</v>
      </c>
      <c r="B153" s="11"/>
      <c r="C153" s="17"/>
      <c r="D153" s="17"/>
      <c r="E153" s="17"/>
      <c r="F153" s="26"/>
      <c r="G153" s="27"/>
      <c r="H153" s="27"/>
      <c r="I153" s="17"/>
      <c r="J153" s="17"/>
      <c r="K153" s="38"/>
      <c r="L153" s="60"/>
      <c r="M153" s="13"/>
      <c r="N153" s="17"/>
      <c r="O153" s="17"/>
      <c r="P153" s="17"/>
      <c r="Q153" s="29"/>
      <c r="R153" s="29"/>
      <c r="S153" s="17"/>
      <c r="T153" s="17"/>
      <c r="U153" s="13"/>
      <c r="V153" s="17"/>
      <c r="W153" s="17"/>
      <c r="X153" s="17"/>
      <c r="Y153" s="17"/>
      <c r="Z153" s="17"/>
      <c r="AA153" s="17"/>
      <c r="AB153" s="17"/>
      <c r="AC153" s="17"/>
      <c r="AD153" s="29"/>
      <c r="AE153" s="17"/>
      <c r="AF153" s="17"/>
      <c r="AG153" s="17"/>
      <c r="AH153" s="17"/>
      <c r="AI153" s="17"/>
      <c r="AJ153" s="17"/>
      <c r="AK153" s="17"/>
      <c r="AL153" s="17"/>
      <c r="AM153" s="17"/>
      <c r="AN153" s="18"/>
      <c r="AO153" s="18"/>
    </row>
    <row r="154" spans="1:41" ht="36" customHeight="1" x14ac:dyDescent="0.25">
      <c r="A154" s="10">
        <v>152</v>
      </c>
      <c r="B154" s="11"/>
      <c r="C154" s="17"/>
      <c r="D154" s="17"/>
      <c r="E154" s="17"/>
      <c r="F154" s="26"/>
      <c r="G154" s="27"/>
      <c r="H154" s="27"/>
      <c r="I154" s="17"/>
      <c r="J154" s="17"/>
      <c r="K154" s="38"/>
      <c r="L154" s="60"/>
      <c r="M154" s="13"/>
      <c r="N154" s="17"/>
      <c r="O154" s="17"/>
      <c r="P154" s="17"/>
      <c r="Q154" s="29"/>
      <c r="R154" s="29"/>
      <c r="S154" s="17"/>
      <c r="T154" s="17"/>
      <c r="U154" s="13"/>
      <c r="V154" s="17"/>
      <c r="W154" s="17"/>
      <c r="X154" s="17"/>
      <c r="Y154" s="17"/>
      <c r="Z154" s="17"/>
      <c r="AA154" s="17"/>
      <c r="AB154" s="17"/>
      <c r="AC154" s="17"/>
      <c r="AD154" s="29"/>
      <c r="AE154" s="17"/>
      <c r="AF154" s="17"/>
      <c r="AG154" s="17"/>
      <c r="AH154" s="17"/>
      <c r="AI154" s="17"/>
      <c r="AJ154" s="17"/>
      <c r="AK154" s="17"/>
      <c r="AL154" s="17"/>
      <c r="AM154" s="17"/>
      <c r="AN154" s="18"/>
      <c r="AO154" s="18"/>
    </row>
    <row r="155" spans="1:41" ht="33.75" customHeight="1" x14ac:dyDescent="0.25">
      <c r="A155" s="10">
        <v>153</v>
      </c>
      <c r="B155" s="11"/>
      <c r="C155" s="17"/>
      <c r="D155" s="17"/>
      <c r="E155" s="17"/>
      <c r="F155" s="26"/>
      <c r="G155" s="27"/>
      <c r="H155" s="27"/>
      <c r="I155" s="17"/>
      <c r="J155" s="17"/>
      <c r="K155" s="38"/>
      <c r="L155" s="60"/>
      <c r="M155" s="13"/>
      <c r="N155" s="17"/>
      <c r="O155" s="17"/>
      <c r="P155" s="17"/>
      <c r="Q155" s="29"/>
      <c r="R155" s="29"/>
      <c r="S155" s="17"/>
      <c r="T155" s="17"/>
      <c r="U155" s="13"/>
      <c r="V155" s="17"/>
      <c r="W155" s="17"/>
      <c r="X155" s="17"/>
      <c r="Y155" s="17"/>
      <c r="Z155" s="17"/>
      <c r="AA155" s="17"/>
      <c r="AB155" s="17"/>
      <c r="AC155" s="17"/>
      <c r="AD155" s="29"/>
      <c r="AE155" s="17"/>
      <c r="AF155" s="17"/>
      <c r="AG155" s="17"/>
      <c r="AH155" s="17"/>
      <c r="AI155" s="17"/>
      <c r="AJ155" s="17"/>
      <c r="AK155" s="17"/>
      <c r="AL155" s="17"/>
      <c r="AM155" s="17"/>
      <c r="AN155" s="18"/>
      <c r="AO155" s="18"/>
    </row>
    <row r="156" spans="1:41" ht="33" customHeight="1" x14ac:dyDescent="0.25">
      <c r="A156" s="10">
        <v>154</v>
      </c>
      <c r="B156" s="11"/>
      <c r="C156" s="17"/>
      <c r="D156" s="17"/>
      <c r="E156" s="17"/>
      <c r="F156" s="26"/>
      <c r="G156" s="27"/>
      <c r="H156" s="27"/>
      <c r="I156" s="17"/>
      <c r="J156" s="17"/>
      <c r="K156" s="38"/>
      <c r="L156" s="60"/>
      <c r="M156" s="13"/>
      <c r="N156" s="17"/>
      <c r="O156" s="17"/>
      <c r="P156" s="17"/>
      <c r="Q156" s="29"/>
      <c r="R156" s="29"/>
      <c r="S156" s="17"/>
      <c r="T156" s="17"/>
      <c r="U156" s="13"/>
      <c r="V156" s="17"/>
      <c r="W156" s="17"/>
      <c r="X156" s="17"/>
      <c r="Y156" s="17"/>
      <c r="Z156" s="17"/>
      <c r="AA156" s="17"/>
      <c r="AB156" s="17"/>
      <c r="AC156" s="17"/>
      <c r="AD156" s="29"/>
      <c r="AE156" s="17"/>
      <c r="AF156" s="17"/>
      <c r="AG156" s="17"/>
      <c r="AH156" s="17"/>
      <c r="AI156" s="17"/>
      <c r="AJ156" s="17"/>
      <c r="AK156" s="17"/>
      <c r="AL156" s="17"/>
      <c r="AM156" s="17"/>
      <c r="AN156" s="18"/>
      <c r="AO156" s="18"/>
    </row>
    <row r="157" spans="1:41" ht="35.25" customHeight="1" x14ac:dyDescent="0.25">
      <c r="A157" s="10">
        <v>155</v>
      </c>
      <c r="B157" s="11"/>
      <c r="C157" s="17"/>
      <c r="D157" s="17"/>
      <c r="E157" s="17"/>
      <c r="F157" s="26"/>
      <c r="G157" s="27"/>
      <c r="H157" s="27"/>
      <c r="I157" s="17"/>
      <c r="J157" s="17"/>
      <c r="K157" s="38"/>
      <c r="L157" s="60"/>
      <c r="M157" s="13"/>
      <c r="N157" s="17"/>
      <c r="O157" s="17"/>
      <c r="P157" s="17"/>
      <c r="Q157" s="29"/>
      <c r="R157" s="29"/>
      <c r="S157" s="17"/>
      <c r="T157" s="17"/>
      <c r="U157" s="13"/>
      <c r="V157" s="17"/>
      <c r="W157" s="17"/>
      <c r="X157" s="17"/>
      <c r="Y157" s="17"/>
      <c r="Z157" s="17"/>
      <c r="AA157" s="17"/>
      <c r="AB157" s="17"/>
      <c r="AC157" s="17"/>
      <c r="AD157" s="29"/>
      <c r="AE157" s="17"/>
      <c r="AF157" s="17"/>
      <c r="AG157" s="17"/>
      <c r="AH157" s="17"/>
      <c r="AI157" s="17"/>
      <c r="AJ157" s="17"/>
      <c r="AK157" s="17"/>
      <c r="AL157" s="17"/>
      <c r="AM157" s="17"/>
      <c r="AN157" s="18"/>
      <c r="AO157" s="18"/>
    </row>
    <row r="158" spans="1:41" ht="36" customHeight="1" x14ac:dyDescent="0.25">
      <c r="A158" s="10">
        <v>156</v>
      </c>
      <c r="B158" s="11"/>
      <c r="C158" s="17"/>
      <c r="D158" s="17"/>
      <c r="E158" s="17"/>
      <c r="F158" s="26"/>
      <c r="G158" s="27"/>
      <c r="H158" s="27"/>
      <c r="I158" s="17"/>
      <c r="J158" s="17"/>
      <c r="K158" s="38"/>
      <c r="L158" s="60"/>
      <c r="M158" s="13"/>
      <c r="N158" s="17"/>
      <c r="O158" s="17"/>
      <c r="P158" s="17"/>
      <c r="Q158" s="29"/>
      <c r="R158" s="29"/>
      <c r="S158" s="17"/>
      <c r="T158" s="17"/>
      <c r="U158" s="13"/>
      <c r="V158" s="17"/>
      <c r="W158" s="17"/>
      <c r="X158" s="17"/>
      <c r="Y158" s="17"/>
      <c r="Z158" s="17"/>
      <c r="AA158" s="17"/>
      <c r="AB158" s="17"/>
      <c r="AC158" s="17"/>
      <c r="AD158" s="29"/>
      <c r="AE158" s="17"/>
      <c r="AF158" s="17"/>
      <c r="AG158" s="17"/>
      <c r="AH158" s="17"/>
      <c r="AI158" s="17"/>
      <c r="AJ158" s="17"/>
      <c r="AK158" s="17"/>
      <c r="AL158" s="17"/>
      <c r="AM158" s="17"/>
      <c r="AN158" s="18"/>
      <c r="AO158" s="18"/>
    </row>
    <row r="159" spans="1:41" ht="39.75" customHeight="1" x14ac:dyDescent="0.25">
      <c r="A159" s="10">
        <v>157</v>
      </c>
      <c r="B159" s="11"/>
      <c r="C159" s="17"/>
      <c r="D159" s="17"/>
      <c r="E159" s="17"/>
      <c r="F159" s="26"/>
      <c r="G159" s="27"/>
      <c r="H159" s="27"/>
      <c r="I159" s="17"/>
      <c r="J159" s="17"/>
      <c r="K159" s="38"/>
      <c r="L159" s="60"/>
      <c r="M159" s="13"/>
      <c r="N159" s="17"/>
      <c r="O159" s="17"/>
      <c r="P159" s="17"/>
      <c r="Q159" s="29"/>
      <c r="R159" s="29"/>
      <c r="S159" s="17"/>
      <c r="T159" s="17"/>
      <c r="U159" s="13"/>
      <c r="V159" s="17"/>
      <c r="W159" s="17"/>
      <c r="X159" s="17"/>
      <c r="Y159" s="17"/>
      <c r="Z159" s="17"/>
      <c r="AA159" s="17"/>
      <c r="AB159" s="17"/>
      <c r="AC159" s="17"/>
      <c r="AD159" s="29"/>
      <c r="AE159" s="17"/>
      <c r="AF159" s="17"/>
      <c r="AG159" s="17"/>
      <c r="AH159" s="17"/>
      <c r="AI159" s="17"/>
      <c r="AJ159" s="17"/>
      <c r="AK159" s="17"/>
      <c r="AL159" s="17"/>
      <c r="AM159" s="17"/>
      <c r="AN159" s="18"/>
      <c r="AO159" s="18"/>
    </row>
    <row r="160" spans="1:41" ht="43.5" customHeight="1" x14ac:dyDescent="0.25">
      <c r="A160" s="10">
        <v>158</v>
      </c>
      <c r="B160" s="11"/>
      <c r="C160" s="17"/>
      <c r="D160" s="17"/>
      <c r="E160" s="17"/>
      <c r="F160" s="26"/>
      <c r="G160" s="27"/>
      <c r="H160" s="27"/>
      <c r="I160" s="17"/>
      <c r="J160" s="17"/>
      <c r="K160" s="38"/>
      <c r="L160" s="60"/>
      <c r="M160" s="13"/>
      <c r="N160" s="17"/>
      <c r="O160" s="17"/>
      <c r="P160" s="17"/>
      <c r="Q160" s="29"/>
      <c r="R160" s="29"/>
      <c r="S160" s="17"/>
      <c r="T160" s="17"/>
      <c r="U160" s="13"/>
      <c r="V160" s="17"/>
      <c r="W160" s="17"/>
      <c r="X160" s="17"/>
      <c r="Y160" s="17"/>
      <c r="Z160" s="17"/>
      <c r="AA160" s="17"/>
      <c r="AB160" s="17"/>
      <c r="AC160" s="17"/>
      <c r="AD160" s="29"/>
      <c r="AE160" s="17"/>
      <c r="AF160" s="17"/>
      <c r="AG160" s="17"/>
      <c r="AH160" s="17"/>
      <c r="AI160" s="17"/>
      <c r="AJ160" s="17"/>
      <c r="AK160" s="17"/>
      <c r="AL160" s="17"/>
      <c r="AM160" s="17"/>
      <c r="AN160" s="18"/>
      <c r="AO160" s="18"/>
    </row>
    <row r="161" spans="1:41" ht="38.25" customHeight="1" x14ac:dyDescent="0.25">
      <c r="A161" s="10">
        <v>159</v>
      </c>
      <c r="B161" s="11"/>
      <c r="C161" s="17"/>
      <c r="D161" s="17"/>
      <c r="E161" s="17"/>
      <c r="F161" s="26"/>
      <c r="G161" s="27"/>
      <c r="H161" s="27"/>
      <c r="I161" s="17"/>
      <c r="J161" s="17"/>
      <c r="K161" s="38"/>
      <c r="L161" s="60"/>
      <c r="M161" s="13"/>
      <c r="N161" s="17"/>
      <c r="O161" s="17"/>
      <c r="P161" s="17"/>
      <c r="Q161" s="29"/>
      <c r="R161" s="29"/>
      <c r="S161" s="17"/>
      <c r="T161" s="17"/>
      <c r="U161" s="13"/>
      <c r="V161" s="17"/>
      <c r="W161" s="17"/>
      <c r="X161" s="17"/>
      <c r="Y161" s="17"/>
      <c r="Z161" s="17"/>
      <c r="AA161" s="17"/>
      <c r="AB161" s="17"/>
      <c r="AC161" s="17"/>
      <c r="AD161" s="29"/>
      <c r="AE161" s="17"/>
      <c r="AF161" s="17"/>
      <c r="AG161" s="17"/>
      <c r="AH161" s="17"/>
      <c r="AI161" s="17"/>
      <c r="AJ161" s="17"/>
      <c r="AK161" s="17"/>
      <c r="AL161" s="17"/>
      <c r="AM161" s="17"/>
      <c r="AN161" s="18"/>
      <c r="AO161" s="18"/>
    </row>
    <row r="162" spans="1:41" ht="33" customHeight="1" x14ac:dyDescent="0.25">
      <c r="A162" s="10">
        <v>160</v>
      </c>
      <c r="B162" s="11"/>
      <c r="C162" s="17"/>
      <c r="D162" s="17"/>
      <c r="E162" s="17"/>
      <c r="F162" s="26"/>
      <c r="G162" s="27"/>
      <c r="H162" s="27"/>
      <c r="I162" s="17"/>
      <c r="J162" s="17"/>
      <c r="K162" s="38"/>
      <c r="L162" s="60"/>
      <c r="M162" s="13"/>
      <c r="N162" s="17"/>
      <c r="O162" s="17"/>
      <c r="P162" s="17"/>
      <c r="Q162" s="29"/>
      <c r="R162" s="29"/>
      <c r="S162" s="17"/>
      <c r="T162" s="17"/>
      <c r="U162" s="13"/>
      <c r="V162" s="17"/>
      <c r="W162" s="17"/>
      <c r="X162" s="17"/>
      <c r="Y162" s="17"/>
      <c r="Z162" s="17"/>
      <c r="AA162" s="17"/>
      <c r="AB162" s="17"/>
      <c r="AC162" s="17"/>
      <c r="AD162" s="29"/>
      <c r="AE162" s="17"/>
      <c r="AF162" s="17"/>
      <c r="AG162" s="17"/>
      <c r="AH162" s="17"/>
      <c r="AI162" s="17"/>
      <c r="AJ162" s="17"/>
      <c r="AK162" s="17"/>
      <c r="AL162" s="17"/>
      <c r="AM162" s="17"/>
      <c r="AN162" s="18"/>
      <c r="AO162" s="18"/>
    </row>
    <row r="163" spans="1:41" ht="30" customHeight="1" x14ac:dyDescent="0.25">
      <c r="A163" s="10">
        <v>161</v>
      </c>
      <c r="B163" s="11"/>
      <c r="C163" s="17"/>
      <c r="D163" s="17"/>
      <c r="E163" s="17"/>
      <c r="F163" s="26"/>
      <c r="G163" s="27"/>
      <c r="H163" s="27"/>
      <c r="I163" s="17"/>
      <c r="J163" s="17"/>
      <c r="K163" s="38"/>
      <c r="L163" s="60"/>
      <c r="M163" s="13"/>
      <c r="N163" s="17"/>
      <c r="O163" s="17"/>
      <c r="P163" s="17"/>
      <c r="Q163" s="29"/>
      <c r="R163" s="29"/>
      <c r="S163" s="17"/>
      <c r="T163" s="17"/>
      <c r="U163" s="13"/>
      <c r="V163" s="17"/>
      <c r="W163" s="17"/>
      <c r="X163" s="17"/>
      <c r="Y163" s="17"/>
      <c r="Z163" s="17"/>
      <c r="AA163" s="17"/>
      <c r="AB163" s="17"/>
      <c r="AC163" s="17"/>
      <c r="AD163" s="29"/>
      <c r="AE163" s="17"/>
      <c r="AF163" s="17"/>
      <c r="AG163" s="17"/>
      <c r="AH163" s="17"/>
      <c r="AI163" s="17"/>
      <c r="AJ163" s="17"/>
      <c r="AK163" s="17"/>
      <c r="AL163" s="17"/>
      <c r="AM163" s="17"/>
      <c r="AN163" s="18"/>
      <c r="AO163" s="18"/>
    </row>
    <row r="164" spans="1:41" ht="32.25" customHeight="1" x14ac:dyDescent="0.25">
      <c r="A164" s="10">
        <v>162</v>
      </c>
      <c r="B164" s="11"/>
      <c r="C164" s="17"/>
      <c r="D164" s="17"/>
      <c r="E164" s="17"/>
      <c r="F164" s="26"/>
      <c r="G164" s="27"/>
      <c r="H164" s="27"/>
      <c r="I164" s="17"/>
      <c r="J164" s="17"/>
      <c r="K164" s="38"/>
      <c r="L164" s="60"/>
      <c r="M164" s="13"/>
      <c r="N164" s="17"/>
      <c r="O164" s="17"/>
      <c r="P164" s="17"/>
      <c r="Q164" s="29"/>
      <c r="R164" s="29"/>
      <c r="S164" s="17"/>
      <c r="T164" s="17"/>
      <c r="U164" s="13"/>
      <c r="V164" s="17"/>
      <c r="W164" s="17"/>
      <c r="X164" s="17"/>
      <c r="Y164" s="17"/>
      <c r="Z164" s="17"/>
      <c r="AA164" s="17"/>
      <c r="AB164" s="17"/>
      <c r="AC164" s="17"/>
      <c r="AD164" s="29"/>
      <c r="AE164" s="17"/>
      <c r="AF164" s="17"/>
      <c r="AG164" s="17"/>
      <c r="AH164" s="17"/>
      <c r="AI164" s="17"/>
      <c r="AJ164" s="17"/>
      <c r="AK164" s="17"/>
      <c r="AL164" s="17"/>
      <c r="AM164" s="17"/>
      <c r="AN164" s="18"/>
      <c r="AO164" s="18"/>
    </row>
    <row r="165" spans="1:41" ht="39.75" customHeight="1" x14ac:dyDescent="0.25">
      <c r="A165" s="10">
        <v>163</v>
      </c>
      <c r="B165" s="11"/>
      <c r="C165" s="17"/>
      <c r="D165" s="17"/>
      <c r="E165" s="17"/>
      <c r="F165" s="26"/>
      <c r="G165" s="27"/>
      <c r="H165" s="27"/>
      <c r="I165" s="17"/>
      <c r="J165" s="17"/>
      <c r="K165" s="38"/>
      <c r="L165" s="60"/>
      <c r="M165" s="13"/>
      <c r="N165" s="17"/>
      <c r="O165" s="17"/>
      <c r="P165" s="17"/>
      <c r="Q165" s="29"/>
      <c r="R165" s="29"/>
      <c r="S165" s="17"/>
      <c r="T165" s="17"/>
      <c r="U165" s="13"/>
      <c r="V165" s="17"/>
      <c r="W165" s="17"/>
      <c r="X165" s="17"/>
      <c r="Y165" s="17"/>
      <c r="Z165" s="17"/>
      <c r="AA165" s="17"/>
      <c r="AB165" s="17"/>
      <c r="AC165" s="17"/>
      <c r="AD165" s="29"/>
      <c r="AE165" s="17"/>
      <c r="AF165" s="17"/>
      <c r="AG165" s="17"/>
      <c r="AH165" s="17"/>
      <c r="AI165" s="17"/>
      <c r="AJ165" s="17"/>
      <c r="AK165" s="17"/>
      <c r="AL165" s="17"/>
      <c r="AM165" s="17"/>
      <c r="AN165" s="18"/>
      <c r="AO165" s="18"/>
    </row>
    <row r="166" spans="1:41" ht="24" customHeight="1" x14ac:dyDescent="0.25">
      <c r="A166" s="10">
        <v>164</v>
      </c>
      <c r="B166" s="11"/>
      <c r="C166" s="17"/>
      <c r="D166" s="17"/>
      <c r="E166" s="17"/>
      <c r="F166" s="26"/>
      <c r="G166" s="27"/>
      <c r="H166" s="27"/>
      <c r="I166" s="17"/>
      <c r="J166" s="17"/>
      <c r="K166" s="38"/>
      <c r="L166" s="60"/>
      <c r="M166" s="13"/>
      <c r="N166" s="17"/>
      <c r="O166" s="17"/>
      <c r="P166" s="17"/>
      <c r="Q166" s="29"/>
      <c r="R166" s="29"/>
      <c r="S166" s="17"/>
      <c r="T166" s="17"/>
      <c r="U166" s="13"/>
      <c r="V166" s="17"/>
      <c r="W166" s="17"/>
      <c r="X166" s="17"/>
      <c r="Y166" s="17"/>
      <c r="Z166" s="17"/>
      <c r="AA166" s="17"/>
      <c r="AB166" s="17"/>
      <c r="AC166" s="17"/>
      <c r="AD166" s="29"/>
      <c r="AE166" s="17"/>
      <c r="AF166" s="17"/>
      <c r="AG166" s="17"/>
      <c r="AH166" s="17"/>
      <c r="AI166" s="17"/>
      <c r="AJ166" s="17"/>
      <c r="AK166" s="17"/>
      <c r="AL166" s="17"/>
      <c r="AM166" s="17"/>
      <c r="AN166" s="18"/>
      <c r="AO166" s="18"/>
    </row>
    <row r="167" spans="1:41" ht="30.75" customHeight="1" x14ac:dyDescent="0.25">
      <c r="A167" s="10">
        <v>165</v>
      </c>
      <c r="B167" s="11"/>
      <c r="C167" s="17"/>
      <c r="D167" s="17"/>
      <c r="E167" s="17"/>
      <c r="F167" s="26"/>
      <c r="G167" s="27"/>
      <c r="H167" s="27"/>
      <c r="I167" s="17"/>
      <c r="J167" s="17"/>
      <c r="K167" s="38"/>
      <c r="L167" s="60"/>
      <c r="M167" s="13"/>
      <c r="N167" s="17"/>
      <c r="O167" s="17"/>
      <c r="P167" s="17"/>
      <c r="Q167" s="29"/>
      <c r="R167" s="29"/>
      <c r="S167" s="17"/>
      <c r="T167" s="17"/>
      <c r="U167" s="13"/>
      <c r="V167" s="17"/>
      <c r="W167" s="17"/>
      <c r="X167" s="17"/>
      <c r="Y167" s="17"/>
      <c r="Z167" s="17"/>
      <c r="AA167" s="17"/>
      <c r="AB167" s="17"/>
      <c r="AC167" s="17"/>
      <c r="AD167" s="29"/>
      <c r="AE167" s="17"/>
      <c r="AF167" s="17"/>
      <c r="AG167" s="17"/>
      <c r="AH167" s="17"/>
      <c r="AI167" s="17"/>
      <c r="AJ167" s="17"/>
      <c r="AK167" s="17"/>
      <c r="AL167" s="17"/>
      <c r="AM167" s="17"/>
      <c r="AN167" s="18"/>
      <c r="AO167" s="18"/>
    </row>
    <row r="168" spans="1:41" ht="39.75" customHeight="1" x14ac:dyDescent="0.25">
      <c r="A168" s="10">
        <v>166</v>
      </c>
      <c r="B168" s="11"/>
      <c r="C168" s="17"/>
      <c r="D168" s="17"/>
      <c r="E168" s="17"/>
      <c r="F168" s="26"/>
      <c r="G168" s="27"/>
      <c r="H168" s="27"/>
      <c r="I168" s="17"/>
      <c r="J168" s="17"/>
      <c r="K168" s="38"/>
      <c r="L168" s="60"/>
      <c r="M168" s="13"/>
      <c r="N168" s="17"/>
      <c r="O168" s="17"/>
      <c r="P168" s="17"/>
      <c r="Q168" s="29"/>
      <c r="R168" s="29"/>
      <c r="S168" s="17"/>
      <c r="T168" s="17"/>
      <c r="U168" s="13"/>
      <c r="V168" s="17"/>
      <c r="W168" s="17"/>
      <c r="X168" s="17"/>
      <c r="Y168" s="17"/>
      <c r="Z168" s="17"/>
      <c r="AA168" s="17"/>
      <c r="AB168" s="17"/>
      <c r="AC168" s="17"/>
      <c r="AD168" s="29"/>
      <c r="AE168" s="17"/>
      <c r="AF168" s="17"/>
      <c r="AG168" s="17"/>
      <c r="AH168" s="17"/>
      <c r="AI168" s="17"/>
      <c r="AJ168" s="17"/>
      <c r="AK168" s="17"/>
      <c r="AL168" s="17"/>
      <c r="AM168" s="17"/>
      <c r="AN168" s="18"/>
      <c r="AO168" s="18"/>
    </row>
    <row r="169" spans="1:41" ht="24.75" customHeight="1" x14ac:dyDescent="0.25">
      <c r="A169" s="10">
        <v>167</v>
      </c>
      <c r="B169" s="11"/>
      <c r="C169" s="17"/>
      <c r="D169" s="17"/>
      <c r="E169" s="17"/>
      <c r="F169" s="26"/>
      <c r="G169" s="27"/>
      <c r="H169" s="27"/>
      <c r="I169" s="17"/>
      <c r="J169" s="17"/>
      <c r="K169" s="38"/>
      <c r="L169" s="60"/>
      <c r="M169" s="13"/>
      <c r="N169" s="17"/>
      <c r="O169" s="17"/>
      <c r="P169" s="17"/>
      <c r="Q169" s="29"/>
      <c r="R169" s="29"/>
      <c r="S169" s="17"/>
      <c r="T169" s="17"/>
      <c r="U169" s="13"/>
      <c r="V169" s="17"/>
      <c r="W169" s="17"/>
      <c r="X169" s="17"/>
      <c r="Y169" s="17"/>
      <c r="Z169" s="17"/>
      <c r="AA169" s="17"/>
      <c r="AB169" s="17"/>
      <c r="AC169" s="17"/>
      <c r="AD169" s="29"/>
      <c r="AE169" s="17"/>
      <c r="AF169" s="17"/>
      <c r="AG169" s="17"/>
      <c r="AH169" s="17"/>
      <c r="AI169" s="17"/>
      <c r="AJ169" s="17"/>
      <c r="AK169" s="17"/>
      <c r="AL169" s="17"/>
      <c r="AM169" s="17"/>
      <c r="AN169" s="18"/>
      <c r="AO169" s="18"/>
    </row>
    <row r="170" spans="1:41" ht="31.5" customHeight="1" x14ac:dyDescent="0.25">
      <c r="A170" s="10">
        <v>168</v>
      </c>
      <c r="B170" s="11"/>
      <c r="C170" s="25"/>
      <c r="D170" s="17"/>
      <c r="E170" s="17"/>
      <c r="F170" s="26"/>
      <c r="G170" s="27"/>
      <c r="H170" s="27"/>
      <c r="I170" s="17"/>
      <c r="J170" s="17"/>
      <c r="K170" s="38"/>
      <c r="L170" s="60"/>
      <c r="M170" s="13"/>
      <c r="N170" s="25"/>
      <c r="O170" s="17"/>
      <c r="P170" s="17"/>
      <c r="Q170" s="29"/>
      <c r="R170" s="29"/>
      <c r="S170" s="17"/>
      <c r="T170" s="17"/>
      <c r="U170" s="13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8"/>
      <c r="AO170" s="18"/>
    </row>
    <row r="171" spans="1:41" ht="31.5" customHeight="1" x14ac:dyDescent="0.25">
      <c r="A171" s="10">
        <v>169</v>
      </c>
      <c r="B171" s="11"/>
      <c r="C171" s="25"/>
      <c r="D171" s="17"/>
      <c r="E171" s="17"/>
      <c r="F171" s="26"/>
      <c r="G171" s="27"/>
      <c r="H171" s="27"/>
      <c r="I171" s="17"/>
      <c r="J171" s="17"/>
      <c r="K171" s="38"/>
      <c r="L171" s="60"/>
      <c r="M171" s="13"/>
      <c r="N171" s="25"/>
      <c r="O171" s="17"/>
      <c r="P171" s="17"/>
      <c r="Q171" s="29"/>
      <c r="R171" s="29"/>
      <c r="S171" s="17"/>
      <c r="T171" s="17"/>
      <c r="U171" s="13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8"/>
      <c r="AO171" s="18"/>
    </row>
    <row r="172" spans="1:41" ht="31.5" customHeight="1" x14ac:dyDescent="0.25">
      <c r="A172" s="10">
        <v>170</v>
      </c>
      <c r="B172" s="11"/>
      <c r="C172" s="25"/>
      <c r="D172" s="17"/>
      <c r="E172" s="17"/>
      <c r="F172" s="26"/>
      <c r="G172" s="27"/>
      <c r="H172" s="27"/>
      <c r="I172" s="17"/>
      <c r="J172" s="17"/>
      <c r="K172" s="38"/>
      <c r="L172" s="60"/>
      <c r="M172" s="13"/>
      <c r="N172" s="25"/>
      <c r="O172" s="17"/>
      <c r="P172" s="17"/>
      <c r="Q172" s="29"/>
      <c r="R172" s="29"/>
      <c r="S172" s="17"/>
      <c r="T172" s="17"/>
      <c r="U172" s="13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8"/>
      <c r="AO172" s="18"/>
    </row>
    <row r="173" spans="1:41" ht="31.5" customHeight="1" x14ac:dyDescent="0.25">
      <c r="A173" s="10">
        <v>171</v>
      </c>
      <c r="B173" s="11"/>
      <c r="C173" s="17"/>
      <c r="D173" s="17"/>
      <c r="E173" s="17"/>
      <c r="F173" s="26"/>
      <c r="G173" s="27"/>
      <c r="H173" s="27"/>
      <c r="I173" s="17"/>
      <c r="J173" s="17"/>
      <c r="K173" s="38"/>
      <c r="L173" s="60"/>
      <c r="M173" s="13"/>
      <c r="N173" s="17"/>
      <c r="O173" s="17"/>
      <c r="P173" s="17"/>
      <c r="Q173" s="29"/>
      <c r="R173" s="29"/>
      <c r="S173" s="17"/>
      <c r="T173" s="17"/>
      <c r="U173" s="13"/>
      <c r="V173" s="17"/>
      <c r="W173" s="17"/>
      <c r="X173" s="17"/>
      <c r="Y173" s="17"/>
      <c r="Z173" s="17"/>
      <c r="AA173" s="17"/>
      <c r="AB173" s="17"/>
      <c r="AC173" s="17"/>
      <c r="AD173" s="29"/>
      <c r="AE173" s="17"/>
      <c r="AF173" s="17"/>
      <c r="AG173" s="17"/>
      <c r="AH173" s="17"/>
      <c r="AI173" s="17"/>
      <c r="AJ173" s="17"/>
      <c r="AK173" s="17"/>
      <c r="AL173" s="17"/>
      <c r="AM173" s="17"/>
      <c r="AN173" s="18"/>
      <c r="AO173" s="18"/>
    </row>
    <row r="174" spans="1:41" ht="31.5" customHeight="1" x14ac:dyDescent="0.25">
      <c r="A174" s="10">
        <v>172</v>
      </c>
      <c r="B174" s="11" t="s">
        <v>38</v>
      </c>
      <c r="C174" s="17"/>
      <c r="D174" s="17"/>
      <c r="E174" s="17"/>
      <c r="F174" s="26"/>
      <c r="G174" s="27"/>
      <c r="H174" s="27"/>
      <c r="I174" s="17"/>
      <c r="J174" s="17"/>
      <c r="K174" s="38"/>
      <c r="L174" s="60"/>
      <c r="M174" s="13"/>
      <c r="N174" s="17"/>
      <c r="O174" s="17"/>
      <c r="P174" s="17"/>
      <c r="Q174" s="29"/>
      <c r="R174" s="29"/>
      <c r="S174" s="17"/>
      <c r="T174" s="17"/>
      <c r="U174" s="13"/>
      <c r="V174" s="17"/>
      <c r="W174" s="17"/>
      <c r="X174" s="17"/>
      <c r="Y174" s="17"/>
      <c r="Z174" s="17"/>
      <c r="AA174" s="17"/>
      <c r="AB174" s="17"/>
      <c r="AC174" s="17"/>
      <c r="AD174" s="29"/>
      <c r="AE174" s="17"/>
      <c r="AF174" s="17"/>
      <c r="AG174" s="17"/>
      <c r="AH174" s="17"/>
      <c r="AI174" s="17"/>
      <c r="AJ174" s="17"/>
      <c r="AK174" s="17"/>
      <c r="AL174" s="17"/>
      <c r="AM174" s="17"/>
      <c r="AN174" s="18"/>
      <c r="AO174" s="18"/>
    </row>
    <row r="175" spans="1:41" ht="31.5" customHeight="1" x14ac:dyDescent="0.25">
      <c r="A175" s="10">
        <v>173</v>
      </c>
      <c r="B175" s="11" t="s">
        <v>38</v>
      </c>
      <c r="C175" s="17"/>
      <c r="D175" s="17"/>
      <c r="E175" s="17"/>
      <c r="F175" s="26"/>
      <c r="G175" s="27"/>
      <c r="H175" s="27"/>
      <c r="I175" s="17"/>
      <c r="J175" s="17"/>
      <c r="K175" s="38"/>
      <c r="L175" s="60"/>
      <c r="M175" s="13"/>
      <c r="N175" s="17"/>
      <c r="O175" s="17"/>
      <c r="P175" s="17"/>
      <c r="Q175" s="29"/>
      <c r="R175" s="29"/>
      <c r="S175" s="17"/>
      <c r="T175" s="17"/>
      <c r="U175" s="13"/>
      <c r="V175" s="17"/>
      <c r="W175" s="17"/>
      <c r="X175" s="17"/>
      <c r="Y175" s="17"/>
      <c r="Z175" s="17"/>
      <c r="AA175" s="17"/>
      <c r="AB175" s="17"/>
      <c r="AC175" s="17"/>
      <c r="AD175" s="29"/>
      <c r="AE175" s="17"/>
      <c r="AF175" s="17"/>
      <c r="AG175" s="17"/>
      <c r="AH175" s="17"/>
      <c r="AI175" s="17"/>
      <c r="AJ175" s="17"/>
      <c r="AK175" s="17"/>
      <c r="AL175" s="17"/>
      <c r="AM175" s="17"/>
      <c r="AN175" s="18"/>
      <c r="AO175" s="18"/>
    </row>
    <row r="176" spans="1:41" ht="31.5" customHeight="1" x14ac:dyDescent="0.25">
      <c r="A176" s="10">
        <v>174</v>
      </c>
      <c r="B176" s="11" t="s">
        <v>38</v>
      </c>
      <c r="C176" s="17"/>
      <c r="D176" s="17"/>
      <c r="E176" s="17"/>
      <c r="F176" s="26"/>
      <c r="G176" s="27"/>
      <c r="H176" s="27"/>
      <c r="I176" s="17"/>
      <c r="J176" s="17"/>
      <c r="K176" s="38"/>
      <c r="L176" s="60"/>
      <c r="M176" s="13"/>
      <c r="N176" s="17"/>
      <c r="O176" s="17"/>
      <c r="P176" s="17"/>
      <c r="Q176" s="29"/>
      <c r="R176" s="29"/>
      <c r="S176" s="17"/>
      <c r="T176" s="17"/>
      <c r="U176" s="13"/>
      <c r="V176" s="17"/>
      <c r="W176" s="17"/>
      <c r="X176" s="17"/>
      <c r="Y176" s="17"/>
      <c r="Z176" s="17"/>
      <c r="AA176" s="17"/>
      <c r="AB176" s="17"/>
      <c r="AC176" s="17"/>
      <c r="AD176" s="29"/>
      <c r="AE176" s="17"/>
      <c r="AF176" s="17"/>
      <c r="AG176" s="17"/>
      <c r="AH176" s="17"/>
      <c r="AI176" s="17"/>
      <c r="AJ176" s="17"/>
      <c r="AK176" s="17"/>
      <c r="AL176" s="17"/>
      <c r="AM176" s="17"/>
      <c r="AN176" s="18"/>
      <c r="AO176" s="18"/>
    </row>
    <row r="177" spans="1:41" ht="31.5" customHeight="1" x14ac:dyDescent="0.25">
      <c r="A177" s="10">
        <v>175</v>
      </c>
      <c r="B177" s="11" t="s">
        <v>38</v>
      </c>
      <c r="C177" s="17"/>
      <c r="D177" s="17"/>
      <c r="E177" s="17"/>
      <c r="F177" s="26"/>
      <c r="G177" s="27"/>
      <c r="H177" s="27"/>
      <c r="I177" s="17"/>
      <c r="J177" s="17"/>
      <c r="K177" s="38"/>
      <c r="L177" s="60"/>
      <c r="M177" s="13"/>
      <c r="N177" s="17"/>
      <c r="O177" s="17"/>
      <c r="P177" s="17"/>
      <c r="Q177" s="29"/>
      <c r="R177" s="29"/>
      <c r="S177" s="17"/>
      <c r="T177" s="17"/>
      <c r="U177" s="13"/>
      <c r="V177" s="17"/>
      <c r="W177" s="17"/>
      <c r="X177" s="17"/>
      <c r="Y177" s="17"/>
      <c r="Z177" s="17"/>
      <c r="AA177" s="17"/>
      <c r="AB177" s="17"/>
      <c r="AC177" s="17"/>
      <c r="AD177" s="29"/>
      <c r="AE177" s="17"/>
      <c r="AF177" s="17"/>
      <c r="AG177" s="17"/>
      <c r="AH177" s="17"/>
      <c r="AI177" s="17"/>
      <c r="AJ177" s="17"/>
      <c r="AK177" s="17"/>
      <c r="AL177" s="17"/>
      <c r="AM177" s="17"/>
      <c r="AN177" s="18"/>
      <c r="AO177" s="18"/>
    </row>
    <row r="178" spans="1:41" ht="31.5" customHeight="1" x14ac:dyDescent="0.25">
      <c r="A178" s="10">
        <v>176</v>
      </c>
      <c r="B178" s="11" t="s">
        <v>38</v>
      </c>
      <c r="C178" s="17"/>
      <c r="D178" s="17"/>
      <c r="E178" s="17"/>
      <c r="F178" s="26"/>
      <c r="G178" s="27"/>
      <c r="H178" s="27"/>
      <c r="I178" s="17"/>
      <c r="J178" s="17"/>
      <c r="K178" s="38"/>
      <c r="L178" s="60"/>
      <c r="M178" s="13"/>
      <c r="N178" s="17"/>
      <c r="O178" s="17"/>
      <c r="P178" s="17"/>
      <c r="Q178" s="29"/>
      <c r="R178" s="29"/>
      <c r="S178" s="17"/>
      <c r="T178" s="17"/>
      <c r="U178" s="13"/>
      <c r="V178" s="17"/>
      <c r="W178" s="17"/>
      <c r="X178" s="17"/>
      <c r="Y178" s="17"/>
      <c r="Z178" s="17"/>
      <c r="AA178" s="17"/>
      <c r="AB178" s="17"/>
      <c r="AC178" s="17"/>
      <c r="AD178" s="29"/>
      <c r="AE178" s="17"/>
      <c r="AF178" s="17"/>
      <c r="AG178" s="17"/>
      <c r="AH178" s="17"/>
      <c r="AI178" s="17"/>
      <c r="AJ178" s="17"/>
      <c r="AK178" s="17"/>
      <c r="AL178" s="17"/>
      <c r="AM178" s="17"/>
      <c r="AN178" s="18"/>
      <c r="AO178" s="18"/>
    </row>
    <row r="179" spans="1:41" ht="31.5" customHeight="1" x14ac:dyDescent="0.25">
      <c r="A179" s="10">
        <v>177</v>
      </c>
      <c r="B179" s="11" t="s">
        <v>38</v>
      </c>
      <c r="C179" s="17"/>
      <c r="D179" s="17"/>
      <c r="E179" s="17"/>
      <c r="F179" s="26"/>
      <c r="G179" s="27"/>
      <c r="H179" s="27"/>
      <c r="I179" s="17"/>
      <c r="J179" s="17"/>
      <c r="K179" s="38"/>
      <c r="L179" s="60"/>
      <c r="M179" s="13"/>
      <c r="N179" s="17"/>
      <c r="O179" s="17"/>
      <c r="P179" s="17"/>
      <c r="Q179" s="29"/>
      <c r="R179" s="29"/>
      <c r="S179" s="17"/>
      <c r="T179" s="17"/>
      <c r="U179" s="13"/>
      <c r="V179" s="17"/>
      <c r="W179" s="17"/>
      <c r="X179" s="17"/>
      <c r="Y179" s="17"/>
      <c r="Z179" s="17"/>
      <c r="AA179" s="17"/>
      <c r="AB179" s="17"/>
      <c r="AC179" s="17"/>
      <c r="AD179" s="29"/>
      <c r="AE179" s="17"/>
      <c r="AF179" s="17"/>
      <c r="AG179" s="17"/>
      <c r="AH179" s="17"/>
      <c r="AI179" s="17"/>
      <c r="AJ179" s="17"/>
      <c r="AK179" s="17"/>
      <c r="AL179" s="17"/>
      <c r="AM179" s="17"/>
      <c r="AN179" s="18"/>
      <c r="AO179" s="18"/>
    </row>
    <row r="180" spans="1:41" ht="31.5" customHeight="1" x14ac:dyDescent="0.25">
      <c r="A180" s="10">
        <v>178</v>
      </c>
      <c r="B180" s="11" t="s">
        <v>38</v>
      </c>
      <c r="C180" s="17"/>
      <c r="D180" s="17"/>
      <c r="E180" s="17"/>
      <c r="F180" s="26"/>
      <c r="G180" s="27"/>
      <c r="H180" s="27"/>
      <c r="I180" s="17"/>
      <c r="J180" s="17"/>
      <c r="K180" s="38"/>
      <c r="L180" s="60"/>
      <c r="M180" s="13"/>
      <c r="N180" s="17"/>
      <c r="O180" s="17"/>
      <c r="P180" s="17"/>
      <c r="Q180" s="29"/>
      <c r="R180" s="29"/>
      <c r="S180" s="17"/>
      <c r="T180" s="17"/>
      <c r="U180" s="13"/>
      <c r="V180" s="17"/>
      <c r="W180" s="17"/>
      <c r="X180" s="17"/>
      <c r="Y180" s="17"/>
      <c r="Z180" s="17"/>
      <c r="AA180" s="17"/>
      <c r="AB180" s="17"/>
      <c r="AC180" s="17"/>
      <c r="AD180" s="29"/>
      <c r="AE180" s="17"/>
      <c r="AF180" s="17"/>
      <c r="AG180" s="17"/>
      <c r="AH180" s="17"/>
      <c r="AI180" s="17"/>
      <c r="AJ180" s="17"/>
      <c r="AK180" s="17"/>
      <c r="AL180" s="17"/>
      <c r="AM180" s="17"/>
      <c r="AN180" s="18"/>
      <c r="AO180" s="18"/>
    </row>
    <row r="181" spans="1:41" ht="31.5" customHeight="1" x14ac:dyDescent="0.25">
      <c r="A181" s="10">
        <v>179</v>
      </c>
      <c r="B181" s="11" t="s">
        <v>38</v>
      </c>
      <c r="C181" s="17"/>
      <c r="D181" s="17"/>
      <c r="E181" s="17"/>
      <c r="F181" s="26"/>
      <c r="G181" s="27"/>
      <c r="H181" s="27"/>
      <c r="I181" s="17"/>
      <c r="J181" s="17"/>
      <c r="K181" s="38"/>
      <c r="L181" s="60"/>
      <c r="M181" s="13"/>
      <c r="N181" s="17"/>
      <c r="O181" s="17"/>
      <c r="P181" s="17"/>
      <c r="Q181" s="29"/>
      <c r="R181" s="29"/>
      <c r="S181" s="17"/>
      <c r="T181" s="17"/>
      <c r="U181" s="13"/>
      <c r="V181" s="17"/>
      <c r="W181" s="17"/>
      <c r="X181" s="17"/>
      <c r="Y181" s="17"/>
      <c r="Z181" s="17"/>
      <c r="AA181" s="17"/>
      <c r="AB181" s="17"/>
      <c r="AC181" s="17"/>
      <c r="AD181" s="29"/>
      <c r="AE181" s="17"/>
      <c r="AF181" s="17"/>
      <c r="AG181" s="17"/>
      <c r="AH181" s="17"/>
      <c r="AI181" s="17"/>
      <c r="AJ181" s="17"/>
      <c r="AK181" s="17"/>
      <c r="AL181" s="17"/>
      <c r="AM181" s="17"/>
      <c r="AN181" s="18"/>
      <c r="AO181" s="18"/>
    </row>
    <row r="182" spans="1:41" ht="31.5" customHeight="1" x14ac:dyDescent="0.25">
      <c r="A182" s="10">
        <v>180</v>
      </c>
      <c r="B182" s="11" t="s">
        <v>38</v>
      </c>
      <c r="C182" s="17"/>
      <c r="D182" s="17"/>
      <c r="E182" s="17"/>
      <c r="F182" s="26"/>
      <c r="G182" s="27"/>
      <c r="H182" s="27"/>
      <c r="I182" s="17"/>
      <c r="J182" s="17"/>
      <c r="K182" s="38"/>
      <c r="L182" s="60"/>
      <c r="M182" s="13"/>
      <c r="N182" s="17"/>
      <c r="O182" s="17"/>
      <c r="P182" s="17"/>
      <c r="Q182" s="29"/>
      <c r="R182" s="29"/>
      <c r="S182" s="17"/>
      <c r="T182" s="17"/>
      <c r="U182" s="13"/>
      <c r="V182" s="17"/>
      <c r="W182" s="17"/>
      <c r="X182" s="17"/>
      <c r="Y182" s="17"/>
      <c r="Z182" s="17"/>
      <c r="AA182" s="17"/>
      <c r="AB182" s="17"/>
      <c r="AC182" s="17"/>
      <c r="AD182" s="29"/>
      <c r="AE182" s="17"/>
      <c r="AF182" s="17"/>
      <c r="AG182" s="17"/>
      <c r="AH182" s="17"/>
      <c r="AI182" s="17"/>
      <c r="AJ182" s="17"/>
      <c r="AK182" s="17"/>
      <c r="AL182" s="17"/>
      <c r="AM182" s="17"/>
      <c r="AN182" s="18"/>
      <c r="AO182" s="18"/>
    </row>
    <row r="183" spans="1:41" ht="31.5" customHeight="1" x14ac:dyDescent="0.25">
      <c r="A183" s="10">
        <v>181</v>
      </c>
      <c r="B183" s="11" t="s">
        <v>38</v>
      </c>
      <c r="C183" s="17"/>
      <c r="D183" s="17"/>
      <c r="E183" s="17"/>
      <c r="F183" s="26"/>
      <c r="G183" s="27"/>
      <c r="H183" s="27"/>
      <c r="I183" s="17"/>
      <c r="J183" s="17"/>
      <c r="K183" s="38"/>
      <c r="L183" s="60"/>
      <c r="M183" s="13"/>
      <c r="N183" s="17"/>
      <c r="O183" s="17"/>
      <c r="P183" s="17"/>
      <c r="Q183" s="29"/>
      <c r="R183" s="29"/>
      <c r="S183" s="17"/>
      <c r="T183" s="17"/>
      <c r="U183" s="13"/>
      <c r="V183" s="17"/>
      <c r="W183" s="17"/>
      <c r="X183" s="17"/>
      <c r="Y183" s="17"/>
      <c r="Z183" s="17"/>
      <c r="AA183" s="17"/>
      <c r="AB183" s="17"/>
      <c r="AC183" s="17"/>
      <c r="AD183" s="29"/>
      <c r="AE183" s="17"/>
      <c r="AF183" s="17"/>
      <c r="AG183" s="17"/>
      <c r="AH183" s="17"/>
      <c r="AI183" s="17"/>
      <c r="AJ183" s="17"/>
      <c r="AK183" s="17"/>
      <c r="AL183" s="17"/>
      <c r="AM183" s="17"/>
      <c r="AN183" s="18"/>
      <c r="AO183" s="18"/>
    </row>
    <row r="184" spans="1:41" ht="31.5" customHeight="1" x14ac:dyDescent="0.25">
      <c r="A184" s="10">
        <v>182</v>
      </c>
      <c r="B184" s="11" t="s">
        <v>38</v>
      </c>
      <c r="C184" s="17"/>
      <c r="D184" s="17"/>
      <c r="E184" s="17"/>
      <c r="F184" s="26"/>
      <c r="G184" s="27"/>
      <c r="H184" s="27"/>
      <c r="I184" s="17"/>
      <c r="J184" s="17"/>
      <c r="K184" s="38"/>
      <c r="L184" s="60"/>
      <c r="M184" s="13"/>
      <c r="N184" s="17"/>
      <c r="O184" s="17"/>
      <c r="P184" s="17"/>
      <c r="Q184" s="29"/>
      <c r="R184" s="29"/>
      <c r="S184" s="17"/>
      <c r="T184" s="17"/>
      <c r="U184" s="13"/>
      <c r="V184" s="17"/>
      <c r="W184" s="17"/>
      <c r="X184" s="17"/>
      <c r="Y184" s="17"/>
      <c r="Z184" s="17"/>
      <c r="AA184" s="17"/>
      <c r="AB184" s="17"/>
      <c r="AC184" s="17"/>
      <c r="AD184" s="29"/>
      <c r="AE184" s="17"/>
      <c r="AF184" s="17"/>
      <c r="AG184" s="17"/>
      <c r="AH184" s="17"/>
      <c r="AI184" s="17"/>
      <c r="AJ184" s="17"/>
      <c r="AK184" s="17"/>
      <c r="AL184" s="17"/>
      <c r="AM184" s="17"/>
      <c r="AN184" s="18"/>
      <c r="AO184" s="18"/>
    </row>
    <row r="185" spans="1:41" ht="31.5" customHeight="1" x14ac:dyDescent="0.25">
      <c r="A185" s="10">
        <v>183</v>
      </c>
      <c r="B185" s="11" t="s">
        <v>38</v>
      </c>
      <c r="C185" s="17"/>
      <c r="D185" s="17"/>
      <c r="E185" s="17"/>
      <c r="F185" s="26"/>
      <c r="G185" s="27"/>
      <c r="H185" s="27"/>
      <c r="I185" s="17"/>
      <c r="J185" s="17"/>
      <c r="K185" s="38"/>
      <c r="L185" s="60"/>
      <c r="M185" s="13"/>
      <c r="N185" s="17"/>
      <c r="O185" s="17"/>
      <c r="P185" s="17"/>
      <c r="Q185" s="29"/>
      <c r="R185" s="29"/>
      <c r="S185" s="17"/>
      <c r="T185" s="17"/>
      <c r="U185" s="13"/>
      <c r="V185" s="17"/>
      <c r="W185" s="17"/>
      <c r="X185" s="17"/>
      <c r="Y185" s="17"/>
      <c r="Z185" s="17"/>
      <c r="AA185" s="17"/>
      <c r="AB185" s="17"/>
      <c r="AC185" s="17"/>
      <c r="AD185" s="29"/>
      <c r="AE185" s="17"/>
      <c r="AF185" s="17"/>
      <c r="AG185" s="17"/>
      <c r="AH185" s="17"/>
      <c r="AI185" s="17"/>
      <c r="AJ185" s="17"/>
      <c r="AK185" s="17"/>
      <c r="AL185" s="17"/>
      <c r="AM185" s="17"/>
      <c r="AN185" s="18"/>
      <c r="AO185" s="18"/>
    </row>
    <row r="186" spans="1:41" ht="31.5" customHeight="1" x14ac:dyDescent="0.25">
      <c r="A186" s="10">
        <v>184</v>
      </c>
      <c r="B186" s="11" t="s">
        <v>38</v>
      </c>
      <c r="C186" s="17"/>
      <c r="D186" s="17"/>
      <c r="E186" s="17"/>
      <c r="F186" s="26"/>
      <c r="G186" s="27"/>
      <c r="H186" s="27"/>
      <c r="I186" s="17"/>
      <c r="J186" s="17"/>
      <c r="K186" s="38"/>
      <c r="L186" s="60"/>
      <c r="M186" s="13"/>
      <c r="N186" s="17"/>
      <c r="O186" s="17"/>
      <c r="P186" s="17"/>
      <c r="Q186" s="29"/>
      <c r="R186" s="29"/>
      <c r="S186" s="17"/>
      <c r="T186" s="17"/>
      <c r="U186" s="13"/>
      <c r="V186" s="17"/>
      <c r="W186" s="17"/>
      <c r="X186" s="17"/>
      <c r="Y186" s="17"/>
      <c r="Z186" s="17"/>
      <c r="AA186" s="17"/>
      <c r="AB186" s="17"/>
      <c r="AC186" s="17"/>
      <c r="AD186" s="29"/>
      <c r="AE186" s="17"/>
      <c r="AF186" s="17"/>
      <c r="AG186" s="17"/>
      <c r="AH186" s="17"/>
      <c r="AI186" s="17"/>
      <c r="AJ186" s="17"/>
      <c r="AK186" s="17"/>
      <c r="AL186" s="17"/>
      <c r="AM186" s="17"/>
      <c r="AN186" s="18"/>
      <c r="AO186" s="18"/>
    </row>
    <row r="187" spans="1:41" ht="31.5" customHeight="1" x14ac:dyDescent="0.25">
      <c r="A187" s="10">
        <v>185</v>
      </c>
      <c r="B187" s="11" t="s">
        <v>38</v>
      </c>
      <c r="C187" s="17"/>
      <c r="D187" s="17"/>
      <c r="E187" s="17"/>
      <c r="F187" s="26"/>
      <c r="G187" s="27"/>
      <c r="H187" s="27"/>
      <c r="I187" s="17"/>
      <c r="J187" s="17"/>
      <c r="K187" s="38"/>
      <c r="L187" s="60"/>
      <c r="M187" s="13"/>
      <c r="N187" s="17"/>
      <c r="O187" s="17"/>
      <c r="P187" s="17"/>
      <c r="Q187" s="29"/>
      <c r="R187" s="29"/>
      <c r="S187" s="17"/>
      <c r="T187" s="17"/>
      <c r="U187" s="13"/>
      <c r="V187" s="17"/>
      <c r="W187" s="17"/>
      <c r="X187" s="17"/>
      <c r="Y187" s="17"/>
      <c r="Z187" s="17"/>
      <c r="AA187" s="17"/>
      <c r="AB187" s="17"/>
      <c r="AC187" s="17"/>
      <c r="AD187" s="29"/>
      <c r="AE187" s="17"/>
      <c r="AF187" s="17"/>
      <c r="AG187" s="17"/>
      <c r="AH187" s="17"/>
      <c r="AI187" s="17"/>
      <c r="AJ187" s="17"/>
      <c r="AK187" s="17"/>
      <c r="AL187" s="17"/>
      <c r="AM187" s="17"/>
      <c r="AN187" s="18"/>
      <c r="AO187" s="18"/>
    </row>
    <row r="188" spans="1:41" ht="15.75" customHeight="1" x14ac:dyDescent="0.25">
      <c r="A188" s="10">
        <v>186</v>
      </c>
      <c r="B188" s="71"/>
      <c r="I188" s="72"/>
      <c r="P188" s="72"/>
    </row>
    <row r="189" spans="1:41" ht="15.75" customHeight="1" x14ac:dyDescent="0.25">
      <c r="A189" s="10">
        <v>187</v>
      </c>
      <c r="B189" s="71"/>
      <c r="I189" s="72"/>
      <c r="P189" s="72"/>
    </row>
    <row r="190" spans="1:41" ht="15.75" customHeight="1" x14ac:dyDescent="0.25">
      <c r="A190" s="10">
        <v>188</v>
      </c>
      <c r="B190" s="71"/>
      <c r="I190" s="72"/>
      <c r="P190" s="72"/>
    </row>
    <row r="191" spans="1:41" ht="15.75" customHeight="1" x14ac:dyDescent="0.25">
      <c r="A191" s="10">
        <v>189</v>
      </c>
      <c r="B191" s="71"/>
      <c r="I191" s="72"/>
      <c r="P191" s="72"/>
    </row>
    <row r="193" spans="1:16" ht="15.75" customHeight="1" x14ac:dyDescent="0.25">
      <c r="A193" s="73"/>
      <c r="B193" s="71"/>
      <c r="I193" s="72"/>
      <c r="P193" s="72"/>
    </row>
    <row r="194" spans="1:16" ht="15.75" customHeight="1" x14ac:dyDescent="0.25">
      <c r="A194" s="73"/>
      <c r="B194" s="71"/>
      <c r="I194" s="72"/>
      <c r="P194" s="72"/>
    </row>
    <row r="195" spans="1:16" ht="15.75" customHeight="1" x14ac:dyDescent="0.25">
      <c r="A195" s="73"/>
      <c r="B195" s="71"/>
      <c r="I195" s="72"/>
      <c r="P195" s="72"/>
    </row>
    <row r="196" spans="1:16" ht="15.75" customHeight="1" x14ac:dyDescent="0.25">
      <c r="A196" s="73"/>
      <c r="B196" s="71"/>
      <c r="I196" s="72"/>
      <c r="P196" s="72"/>
    </row>
    <row r="197" spans="1:16" ht="15.75" customHeight="1" x14ac:dyDescent="0.25">
      <c r="A197" s="73"/>
      <c r="B197" s="71"/>
      <c r="I197" s="72"/>
      <c r="P197" s="72"/>
    </row>
    <row r="198" spans="1:16" ht="15.75" customHeight="1" x14ac:dyDescent="0.25">
      <c r="A198" s="73"/>
      <c r="B198" s="71"/>
      <c r="I198" s="72"/>
      <c r="P198" s="72"/>
    </row>
    <row r="199" spans="1:16" ht="15.75" customHeight="1" x14ac:dyDescent="0.25">
      <c r="A199" s="73"/>
      <c r="B199" s="71"/>
      <c r="I199" s="72"/>
      <c r="P199" s="72"/>
    </row>
    <row r="200" spans="1:16" ht="15.75" customHeight="1" x14ac:dyDescent="0.25">
      <c r="A200" s="73"/>
      <c r="B200" s="71"/>
      <c r="I200" s="72"/>
      <c r="P200" s="72"/>
    </row>
    <row r="201" spans="1:16" ht="15.75" customHeight="1" x14ac:dyDescent="0.25">
      <c r="A201" s="73"/>
      <c r="B201" s="71"/>
      <c r="I201" s="72"/>
      <c r="P201" s="72"/>
    </row>
    <row r="202" spans="1:16" ht="15.75" customHeight="1" x14ac:dyDescent="0.25">
      <c r="A202" s="73"/>
      <c r="B202" s="71"/>
      <c r="I202" s="72"/>
      <c r="P202" s="72"/>
    </row>
    <row r="203" spans="1:16" ht="15.75" customHeight="1" x14ac:dyDescent="0.25">
      <c r="A203" s="73"/>
      <c r="B203" s="71"/>
      <c r="I203" s="72"/>
      <c r="P203" s="72"/>
    </row>
    <row r="204" spans="1:16" ht="15.75" customHeight="1" x14ac:dyDescent="0.25">
      <c r="A204" s="73"/>
      <c r="B204" s="71"/>
      <c r="I204" s="72"/>
      <c r="P204" s="72"/>
    </row>
    <row r="205" spans="1:16" ht="15.75" customHeight="1" x14ac:dyDescent="0.25">
      <c r="A205" s="73"/>
      <c r="B205" s="71"/>
      <c r="I205" s="72"/>
      <c r="P205" s="72"/>
    </row>
    <row r="206" spans="1:16" ht="15.75" customHeight="1" x14ac:dyDescent="0.25">
      <c r="A206" s="73"/>
      <c r="B206" s="71"/>
      <c r="I206" s="72"/>
      <c r="P206" s="72"/>
    </row>
    <row r="207" spans="1:16" ht="15.75" customHeight="1" x14ac:dyDescent="0.25">
      <c r="A207" s="73"/>
      <c r="B207" s="71"/>
      <c r="I207" s="72"/>
      <c r="P207" s="72"/>
    </row>
    <row r="208" spans="1:16" ht="15.75" customHeight="1" x14ac:dyDescent="0.25">
      <c r="A208" s="73"/>
      <c r="B208" s="71"/>
      <c r="I208" s="72"/>
      <c r="P208" s="72"/>
    </row>
    <row r="209" spans="1:16" ht="15.75" customHeight="1" x14ac:dyDescent="0.25">
      <c r="A209" s="73"/>
      <c r="B209" s="71"/>
      <c r="I209" s="72"/>
      <c r="P209" s="72"/>
    </row>
    <row r="210" spans="1:16" ht="15.75" customHeight="1" x14ac:dyDescent="0.25">
      <c r="A210" s="73"/>
      <c r="B210" s="71"/>
      <c r="I210" s="72"/>
      <c r="P210" s="72"/>
    </row>
    <row r="211" spans="1:16" ht="15.75" customHeight="1" x14ac:dyDescent="0.25">
      <c r="A211" s="73"/>
      <c r="B211" s="71"/>
      <c r="I211" s="72"/>
      <c r="P211" s="72"/>
    </row>
    <row r="212" spans="1:16" ht="15.75" customHeight="1" x14ac:dyDescent="0.25">
      <c r="A212" s="73"/>
      <c r="B212" s="71"/>
      <c r="I212" s="72"/>
      <c r="P212" s="72"/>
    </row>
    <row r="213" spans="1:16" ht="15.75" customHeight="1" x14ac:dyDescent="0.25">
      <c r="A213" s="73"/>
      <c r="B213" s="71"/>
      <c r="I213" s="72"/>
      <c r="P213" s="72"/>
    </row>
    <row r="214" spans="1:16" ht="15.75" customHeight="1" x14ac:dyDescent="0.25">
      <c r="A214" s="73"/>
      <c r="B214" s="71"/>
      <c r="I214" s="72"/>
      <c r="P214" s="72"/>
    </row>
    <row r="215" spans="1:16" ht="15.75" customHeight="1" x14ac:dyDescent="0.25">
      <c r="A215" s="73"/>
      <c r="B215" s="71"/>
      <c r="I215" s="72"/>
      <c r="P215" s="72"/>
    </row>
    <row r="216" spans="1:16" ht="15.75" customHeight="1" x14ac:dyDescent="0.25">
      <c r="A216" s="73"/>
      <c r="B216" s="71"/>
      <c r="I216" s="72"/>
      <c r="P216" s="72"/>
    </row>
    <row r="217" spans="1:16" ht="15.75" customHeight="1" x14ac:dyDescent="0.25">
      <c r="A217" s="73"/>
      <c r="B217" s="71"/>
      <c r="I217" s="72"/>
      <c r="P217" s="72"/>
    </row>
    <row r="218" spans="1:16" ht="15.75" customHeight="1" x14ac:dyDescent="0.25">
      <c r="A218" s="73"/>
      <c r="B218" s="71"/>
      <c r="I218" s="72"/>
      <c r="P218" s="72"/>
    </row>
    <row r="219" spans="1:16" ht="15.75" customHeight="1" x14ac:dyDescent="0.25">
      <c r="A219" s="73"/>
      <c r="B219" s="71"/>
      <c r="I219" s="72"/>
      <c r="P219" s="72"/>
    </row>
    <row r="220" spans="1:16" ht="15.75" customHeight="1" x14ac:dyDescent="0.25">
      <c r="A220" s="73"/>
      <c r="B220" s="71"/>
      <c r="I220" s="72"/>
      <c r="P220" s="72"/>
    </row>
    <row r="221" spans="1:16" ht="15.75" customHeight="1" x14ac:dyDescent="0.25">
      <c r="A221" s="73"/>
      <c r="B221" s="71"/>
      <c r="I221" s="72"/>
      <c r="P221" s="72"/>
    </row>
    <row r="222" spans="1:16" ht="15.75" customHeight="1" x14ac:dyDescent="0.25">
      <c r="A222" s="73"/>
      <c r="B222" s="71"/>
      <c r="I222" s="72"/>
      <c r="P222" s="72"/>
    </row>
    <row r="223" spans="1:16" ht="15.75" customHeight="1" x14ac:dyDescent="0.25">
      <c r="A223" s="73"/>
      <c r="B223" s="71"/>
      <c r="I223" s="72"/>
      <c r="P223" s="72"/>
    </row>
    <row r="224" spans="1:16" ht="15.75" customHeight="1" x14ac:dyDescent="0.25">
      <c r="A224" s="73"/>
      <c r="B224" s="71"/>
      <c r="I224" s="72"/>
      <c r="P224" s="72"/>
    </row>
    <row r="225" spans="1:16" ht="15.75" customHeight="1" x14ac:dyDescent="0.25">
      <c r="A225" s="73"/>
      <c r="B225" s="71"/>
      <c r="I225" s="72"/>
      <c r="P225" s="72"/>
    </row>
    <row r="226" spans="1:16" ht="15.75" customHeight="1" x14ac:dyDescent="0.25">
      <c r="A226" s="73"/>
      <c r="B226" s="71"/>
      <c r="I226" s="72"/>
      <c r="P226" s="72"/>
    </row>
    <row r="227" spans="1:16" ht="15.75" customHeight="1" x14ac:dyDescent="0.25">
      <c r="A227" s="73"/>
      <c r="B227" s="71"/>
      <c r="I227" s="72"/>
      <c r="P227" s="72"/>
    </row>
    <row r="228" spans="1:16" ht="15.75" customHeight="1" x14ac:dyDescent="0.25">
      <c r="A228" s="73"/>
      <c r="B228" s="71"/>
      <c r="I228" s="72"/>
      <c r="P228" s="72"/>
    </row>
    <row r="229" spans="1:16" ht="15.75" customHeight="1" x14ac:dyDescent="0.25">
      <c r="A229" s="73"/>
      <c r="B229" s="71"/>
      <c r="I229" s="72"/>
      <c r="P229" s="72"/>
    </row>
    <row r="230" spans="1:16" ht="15.75" customHeight="1" x14ac:dyDescent="0.25">
      <c r="A230" s="73"/>
      <c r="B230" s="71"/>
      <c r="I230" s="72"/>
      <c r="P230" s="72"/>
    </row>
    <row r="231" spans="1:16" ht="15.75" customHeight="1" x14ac:dyDescent="0.25">
      <c r="A231" s="73"/>
      <c r="B231" s="71"/>
      <c r="I231" s="72"/>
      <c r="P231" s="72"/>
    </row>
    <row r="232" spans="1:16" ht="15.75" customHeight="1" x14ac:dyDescent="0.25">
      <c r="A232" s="73"/>
      <c r="B232" s="71"/>
      <c r="I232" s="72"/>
      <c r="P232" s="72"/>
    </row>
    <row r="233" spans="1:16" ht="15.75" customHeight="1" x14ac:dyDescent="0.25">
      <c r="A233" s="73"/>
      <c r="B233" s="71"/>
      <c r="I233" s="72"/>
      <c r="P233" s="72"/>
    </row>
    <row r="234" spans="1:16" ht="15.75" customHeight="1" x14ac:dyDescent="0.25">
      <c r="A234" s="73"/>
      <c r="B234" s="71"/>
      <c r="I234" s="72"/>
    </row>
    <row r="235" spans="1:16" ht="15.75" customHeight="1" x14ac:dyDescent="0.25">
      <c r="A235" s="73"/>
      <c r="B235" s="71"/>
      <c r="I235" s="72"/>
    </row>
    <row r="236" spans="1:16" ht="15.75" customHeight="1" x14ac:dyDescent="0.25">
      <c r="A236" s="73"/>
      <c r="B236" s="71"/>
      <c r="I236" s="72"/>
    </row>
    <row r="237" spans="1:16" ht="15.75" customHeight="1" x14ac:dyDescent="0.25">
      <c r="A237" s="73"/>
      <c r="B237" s="71"/>
      <c r="I237" s="72"/>
    </row>
    <row r="238" spans="1:16" ht="15.75" customHeight="1" x14ac:dyDescent="0.25">
      <c r="A238" s="73"/>
      <c r="B238" s="71"/>
      <c r="I238" s="72"/>
    </row>
    <row r="239" spans="1:16" ht="15.75" customHeight="1" x14ac:dyDescent="0.25">
      <c r="A239" s="73"/>
      <c r="B239" s="71"/>
      <c r="I239" s="72"/>
    </row>
    <row r="240" spans="1:16" ht="15.75" customHeight="1" x14ac:dyDescent="0.25">
      <c r="A240" s="73"/>
      <c r="B240" s="71"/>
      <c r="I240" s="72"/>
    </row>
    <row r="241" spans="1:9" ht="15.75" customHeight="1" x14ac:dyDescent="0.25">
      <c r="A241" s="73"/>
      <c r="B241" s="71"/>
      <c r="I241" s="72"/>
    </row>
    <row r="242" spans="1:9" ht="15.75" customHeight="1" x14ac:dyDescent="0.25">
      <c r="A242" s="73"/>
      <c r="B242" s="71"/>
      <c r="I242" s="72"/>
    </row>
    <row r="243" spans="1:9" ht="15.75" customHeight="1" x14ac:dyDescent="0.25">
      <c r="A243" s="73"/>
      <c r="B243" s="71"/>
      <c r="I243" s="72"/>
    </row>
    <row r="244" spans="1:9" ht="15.75" customHeight="1" x14ac:dyDescent="0.25">
      <c r="A244" s="73"/>
      <c r="B244" s="71"/>
      <c r="I244" s="72"/>
    </row>
    <row r="245" spans="1:9" ht="15.75" customHeight="1" x14ac:dyDescent="0.25">
      <c r="A245" s="73"/>
      <c r="B245" s="71"/>
      <c r="I245" s="72"/>
    </row>
    <row r="246" spans="1:9" ht="15.75" customHeight="1" x14ac:dyDescent="0.25">
      <c r="A246" s="73"/>
      <c r="B246" s="71"/>
      <c r="I246" s="72"/>
    </row>
    <row r="247" spans="1:9" ht="15.75" customHeight="1" x14ac:dyDescent="0.25">
      <c r="A247" s="73"/>
      <c r="B247" s="71"/>
      <c r="I247" s="72"/>
    </row>
    <row r="248" spans="1:9" ht="15.75" customHeight="1" x14ac:dyDescent="0.25">
      <c r="A248" s="73"/>
      <c r="B248" s="71"/>
      <c r="I248" s="72"/>
    </row>
    <row r="249" spans="1:9" ht="15.75" customHeight="1" x14ac:dyDescent="0.25">
      <c r="A249" s="73"/>
      <c r="B249" s="71"/>
      <c r="I249" s="72"/>
    </row>
    <row r="250" spans="1:9" ht="15.75" customHeight="1" x14ac:dyDescent="0.25">
      <c r="A250" s="73"/>
      <c r="B250" s="71"/>
      <c r="I250" s="72"/>
    </row>
    <row r="251" spans="1:9" ht="15.75" customHeight="1" x14ac:dyDescent="0.25">
      <c r="A251" s="73"/>
      <c r="B251" s="71"/>
      <c r="I251" s="72"/>
    </row>
    <row r="252" spans="1:9" ht="15.75" customHeight="1" x14ac:dyDescent="0.25">
      <c r="A252" s="73"/>
      <c r="B252" s="71"/>
      <c r="I252" s="72"/>
    </row>
    <row r="253" spans="1:9" ht="15.75" customHeight="1" x14ac:dyDescent="0.25">
      <c r="A253" s="73"/>
      <c r="B253" s="71"/>
      <c r="I253" s="72"/>
    </row>
    <row r="254" spans="1:9" ht="15.75" customHeight="1" x14ac:dyDescent="0.25">
      <c r="A254" s="73"/>
      <c r="B254" s="71"/>
      <c r="I254" s="72"/>
    </row>
    <row r="255" spans="1:9" ht="15.75" customHeight="1" x14ac:dyDescent="0.25">
      <c r="A255" s="73"/>
      <c r="B255" s="71"/>
      <c r="I255" s="72"/>
    </row>
    <row r="256" spans="1:9" ht="15.75" customHeight="1" x14ac:dyDescent="0.25">
      <c r="A256" s="73"/>
      <c r="B256" s="71"/>
      <c r="I256" s="72"/>
    </row>
    <row r="257" spans="1:9" ht="15.75" customHeight="1" x14ac:dyDescent="0.25">
      <c r="A257" s="73"/>
      <c r="B257" s="71"/>
      <c r="I257" s="72"/>
    </row>
    <row r="258" spans="1:9" ht="15.75" customHeight="1" x14ac:dyDescent="0.25">
      <c r="A258" s="73"/>
      <c r="B258" s="71"/>
      <c r="I258" s="72"/>
    </row>
    <row r="259" spans="1:9" ht="15.75" customHeight="1" x14ac:dyDescent="0.25">
      <c r="A259" s="73"/>
      <c r="B259" s="71"/>
      <c r="I259" s="72"/>
    </row>
    <row r="260" spans="1:9" ht="15.75" customHeight="1" x14ac:dyDescent="0.25">
      <c r="A260" s="73"/>
      <c r="B260" s="71"/>
      <c r="I260" s="72"/>
    </row>
    <row r="261" spans="1:9" ht="15.75" customHeight="1" x14ac:dyDescent="0.25">
      <c r="A261" s="73"/>
      <c r="B261" s="71"/>
      <c r="I261" s="72"/>
    </row>
    <row r="262" spans="1:9" ht="15.75" customHeight="1" x14ac:dyDescent="0.25">
      <c r="A262" s="73"/>
      <c r="B262" s="71"/>
      <c r="I262" s="72"/>
    </row>
    <row r="263" spans="1:9" ht="15.75" customHeight="1" x14ac:dyDescent="0.25">
      <c r="A263" s="73"/>
      <c r="B263" s="71"/>
      <c r="I263" s="72"/>
    </row>
    <row r="264" spans="1:9" ht="15.75" customHeight="1" x14ac:dyDescent="0.25">
      <c r="A264" s="73"/>
      <c r="B264" s="71"/>
      <c r="I264" s="72"/>
    </row>
    <row r="265" spans="1:9" ht="15.75" customHeight="1" x14ac:dyDescent="0.25">
      <c r="A265" s="73"/>
      <c r="B265" s="71"/>
      <c r="I265" s="72"/>
    </row>
    <row r="266" spans="1:9" ht="15.75" customHeight="1" x14ac:dyDescent="0.25">
      <c r="A266" s="73"/>
      <c r="B266" s="71"/>
      <c r="I266" s="72"/>
    </row>
    <row r="267" spans="1:9" ht="15.75" customHeight="1" x14ac:dyDescent="0.25">
      <c r="A267" s="73"/>
      <c r="B267" s="71"/>
      <c r="I267" s="72"/>
    </row>
    <row r="268" spans="1:9" ht="15.75" customHeight="1" x14ac:dyDescent="0.25">
      <c r="A268" s="73"/>
      <c r="B268" s="71"/>
      <c r="I268" s="72"/>
    </row>
    <row r="269" spans="1:9" ht="15.75" customHeight="1" x14ac:dyDescent="0.25">
      <c r="A269" s="73"/>
      <c r="B269" s="71"/>
      <c r="I269" s="72"/>
    </row>
    <row r="270" spans="1:9" ht="15.75" customHeight="1" x14ac:dyDescent="0.25">
      <c r="A270" s="73"/>
      <c r="B270" s="71"/>
      <c r="I270" s="72"/>
    </row>
    <row r="271" spans="1:9" ht="15.75" customHeight="1" x14ac:dyDescent="0.25">
      <c r="A271" s="73"/>
      <c r="B271" s="71"/>
      <c r="I271" s="72"/>
    </row>
    <row r="272" spans="1:9" ht="15.75" customHeight="1" x14ac:dyDescent="0.25">
      <c r="A272" s="73"/>
      <c r="B272" s="71"/>
      <c r="I272" s="72"/>
    </row>
    <row r="273" spans="1:9" ht="15.75" customHeight="1" x14ac:dyDescent="0.25">
      <c r="A273" s="73"/>
      <c r="B273" s="71"/>
      <c r="I273" s="72"/>
    </row>
    <row r="274" spans="1:9" ht="15.75" customHeight="1" x14ac:dyDescent="0.25">
      <c r="A274" s="73"/>
      <c r="B274" s="71"/>
      <c r="I274" s="72"/>
    </row>
    <row r="275" spans="1:9" ht="15.75" customHeight="1" x14ac:dyDescent="0.25">
      <c r="A275" s="73"/>
      <c r="B275" s="71"/>
      <c r="I275" s="72"/>
    </row>
    <row r="276" spans="1:9" ht="15.75" customHeight="1" x14ac:dyDescent="0.25">
      <c r="A276" s="73"/>
      <c r="B276" s="71"/>
      <c r="I276" s="72"/>
    </row>
    <row r="277" spans="1:9" ht="15.75" customHeight="1" x14ac:dyDescent="0.25">
      <c r="A277" s="73"/>
      <c r="B277" s="71"/>
      <c r="I277" s="72"/>
    </row>
    <row r="278" spans="1:9" ht="15.75" customHeight="1" x14ac:dyDescent="0.25">
      <c r="A278" s="73"/>
      <c r="B278" s="71"/>
      <c r="I278" s="72"/>
    </row>
    <row r="279" spans="1:9" ht="15.75" customHeight="1" x14ac:dyDescent="0.25">
      <c r="A279" s="73"/>
      <c r="B279" s="71"/>
      <c r="I279" s="72"/>
    </row>
    <row r="280" spans="1:9" ht="15.75" customHeight="1" x14ac:dyDescent="0.25">
      <c r="A280" s="73"/>
      <c r="B280" s="71"/>
      <c r="I280" s="72"/>
    </row>
    <row r="281" spans="1:9" ht="15.75" customHeight="1" x14ac:dyDescent="0.25">
      <c r="A281" s="73"/>
      <c r="B281" s="71"/>
    </row>
    <row r="282" spans="1:9" ht="15.75" customHeight="1" x14ac:dyDescent="0.25">
      <c r="A282" s="73"/>
      <c r="B282" s="71"/>
    </row>
    <row r="283" spans="1:9" ht="15.75" customHeight="1" x14ac:dyDescent="0.25">
      <c r="A283" s="73"/>
      <c r="B283" s="71"/>
    </row>
    <row r="284" spans="1:9" ht="15.75" customHeight="1" x14ac:dyDescent="0.25">
      <c r="A284" s="73"/>
      <c r="B284" s="71"/>
    </row>
    <row r="285" spans="1:9" ht="15.75" customHeight="1" x14ac:dyDescent="0.25">
      <c r="A285" s="73"/>
      <c r="B285" s="71"/>
    </row>
    <row r="286" spans="1:9" ht="15.75" customHeight="1" x14ac:dyDescent="0.25">
      <c r="A286" s="73"/>
      <c r="B286" s="71"/>
    </row>
    <row r="287" spans="1:9" ht="15.75" customHeight="1" x14ac:dyDescent="0.25">
      <c r="A287" s="73"/>
      <c r="B287" s="71"/>
    </row>
    <row r="288" spans="1:9" ht="15.75" customHeight="1" x14ac:dyDescent="0.25">
      <c r="A288" s="73"/>
      <c r="B288" s="71"/>
    </row>
    <row r="289" spans="1:2" ht="15.75" customHeight="1" x14ac:dyDescent="0.25">
      <c r="A289" s="73"/>
      <c r="B289" s="71"/>
    </row>
    <row r="290" spans="1:2" ht="15.75" customHeight="1" x14ac:dyDescent="0.25">
      <c r="A290" s="73"/>
      <c r="B290" s="71"/>
    </row>
    <row r="291" spans="1:2" ht="15.75" customHeight="1" x14ac:dyDescent="0.25">
      <c r="A291" s="73"/>
      <c r="B291" s="71"/>
    </row>
    <row r="292" spans="1:2" ht="15.75" customHeight="1" x14ac:dyDescent="0.25">
      <c r="A292" s="73"/>
      <c r="B292" s="71"/>
    </row>
    <row r="293" spans="1:2" ht="15.75" customHeight="1" x14ac:dyDescent="0.25">
      <c r="A293" s="73"/>
      <c r="B293" s="71"/>
    </row>
    <row r="294" spans="1:2" ht="15.75" customHeight="1" x14ac:dyDescent="0.25">
      <c r="A294" s="73"/>
      <c r="B294" s="71"/>
    </row>
    <row r="295" spans="1:2" ht="15.75" customHeight="1" x14ac:dyDescent="0.25">
      <c r="A295" s="73"/>
      <c r="B295" s="71"/>
    </row>
    <row r="296" spans="1:2" ht="15.75" customHeight="1" x14ac:dyDescent="0.25">
      <c r="A296" s="73"/>
      <c r="B296" s="71"/>
    </row>
    <row r="297" spans="1:2" ht="15.75" customHeight="1" x14ac:dyDescent="0.25">
      <c r="A297" s="73"/>
      <c r="B297" s="71"/>
    </row>
    <row r="298" spans="1:2" ht="15.75" customHeight="1" x14ac:dyDescent="0.25">
      <c r="A298" s="73"/>
      <c r="B298" s="71"/>
    </row>
    <row r="299" spans="1:2" ht="15.75" customHeight="1" x14ac:dyDescent="0.25">
      <c r="A299" s="73"/>
      <c r="B299" s="71"/>
    </row>
    <row r="300" spans="1:2" ht="15.75" customHeight="1" x14ac:dyDescent="0.25">
      <c r="A300" s="73"/>
      <c r="B300" s="71"/>
    </row>
    <row r="301" spans="1:2" ht="15.75" customHeight="1" x14ac:dyDescent="0.25">
      <c r="A301" s="73"/>
      <c r="B301" s="71"/>
    </row>
    <row r="302" spans="1:2" ht="15.75" customHeight="1" x14ac:dyDescent="0.25">
      <c r="A302" s="73"/>
      <c r="B302" s="71"/>
    </row>
    <row r="303" spans="1:2" ht="15.75" customHeight="1" x14ac:dyDescent="0.25">
      <c r="A303" s="73"/>
      <c r="B303" s="71"/>
    </row>
    <row r="304" spans="1:2" ht="15.75" customHeight="1" x14ac:dyDescent="0.25">
      <c r="A304" s="73"/>
      <c r="B304" s="71"/>
    </row>
    <row r="305" spans="1:2" ht="15.75" customHeight="1" x14ac:dyDescent="0.25">
      <c r="A305" s="73"/>
      <c r="B305" s="71"/>
    </row>
    <row r="306" spans="1:2" ht="15.75" customHeight="1" x14ac:dyDescent="0.25">
      <c r="A306" s="73"/>
      <c r="B306" s="71"/>
    </row>
    <row r="307" spans="1:2" ht="15.75" customHeight="1" x14ac:dyDescent="0.25">
      <c r="A307" s="73"/>
      <c r="B307" s="71"/>
    </row>
    <row r="308" spans="1:2" ht="15.75" customHeight="1" x14ac:dyDescent="0.25">
      <c r="A308" s="73"/>
      <c r="B308" s="71"/>
    </row>
    <row r="309" spans="1:2" ht="15.75" customHeight="1" x14ac:dyDescent="0.25">
      <c r="A309" s="73"/>
      <c r="B309" s="71"/>
    </row>
    <row r="310" spans="1:2" ht="15.75" customHeight="1" x14ac:dyDescent="0.25">
      <c r="A310" s="73"/>
      <c r="B310" s="71"/>
    </row>
    <row r="311" spans="1:2" ht="15.75" customHeight="1" x14ac:dyDescent="0.25">
      <c r="A311" s="73"/>
      <c r="B311" s="71"/>
    </row>
    <row r="312" spans="1:2" ht="15.75" customHeight="1" x14ac:dyDescent="0.25">
      <c r="A312" s="73"/>
      <c r="B312" s="71"/>
    </row>
    <row r="313" spans="1:2" ht="15.75" customHeight="1" x14ac:dyDescent="0.25">
      <c r="A313" s="73"/>
      <c r="B313" s="71"/>
    </row>
    <row r="314" spans="1:2" ht="15.75" customHeight="1" x14ac:dyDescent="0.25">
      <c r="A314" s="73"/>
      <c r="B314" s="71"/>
    </row>
    <row r="315" spans="1:2" ht="15.75" customHeight="1" x14ac:dyDescent="0.25">
      <c r="A315" s="73"/>
      <c r="B315" s="71"/>
    </row>
    <row r="316" spans="1:2" ht="15.75" customHeight="1" x14ac:dyDescent="0.25">
      <c r="A316" s="73"/>
      <c r="B316" s="71"/>
    </row>
    <row r="317" spans="1:2" ht="15.75" customHeight="1" x14ac:dyDescent="0.25">
      <c r="A317" s="73"/>
      <c r="B317" s="71"/>
    </row>
    <row r="318" spans="1:2" ht="15.75" customHeight="1" x14ac:dyDescent="0.25">
      <c r="A318" s="73"/>
      <c r="B318" s="71"/>
    </row>
    <row r="319" spans="1:2" ht="15.75" customHeight="1" x14ac:dyDescent="0.25">
      <c r="A319" s="73"/>
      <c r="B319" s="71"/>
    </row>
    <row r="320" spans="1:2" ht="15.75" customHeight="1" x14ac:dyDescent="0.25">
      <c r="A320" s="73"/>
      <c r="B320" s="71"/>
    </row>
    <row r="321" spans="1:2" ht="15.75" customHeight="1" x14ac:dyDescent="0.25">
      <c r="A321" s="73"/>
      <c r="B321" s="71"/>
    </row>
    <row r="322" spans="1:2" ht="15.75" customHeight="1" x14ac:dyDescent="0.25">
      <c r="A322" s="73"/>
      <c r="B322" s="71"/>
    </row>
    <row r="323" spans="1:2" ht="15.75" customHeight="1" x14ac:dyDescent="0.25">
      <c r="A323" s="73"/>
      <c r="B323" s="71"/>
    </row>
    <row r="324" spans="1:2" ht="15.75" customHeight="1" x14ac:dyDescent="0.25">
      <c r="A324" s="73"/>
      <c r="B324" s="71"/>
    </row>
    <row r="325" spans="1:2" ht="15.75" customHeight="1" x14ac:dyDescent="0.25">
      <c r="A325" s="73"/>
      <c r="B325" s="71"/>
    </row>
    <row r="326" spans="1:2" ht="15.75" customHeight="1" x14ac:dyDescent="0.25">
      <c r="A326" s="73"/>
      <c r="B326" s="71"/>
    </row>
    <row r="327" spans="1:2" ht="15.75" customHeight="1" x14ac:dyDescent="0.25">
      <c r="A327" s="73"/>
      <c r="B327" s="71"/>
    </row>
    <row r="328" spans="1:2" ht="15.75" customHeight="1" x14ac:dyDescent="0.25">
      <c r="A328" s="73"/>
      <c r="B328" s="71"/>
    </row>
    <row r="329" spans="1:2" ht="15.75" customHeight="1" x14ac:dyDescent="0.25">
      <c r="A329" s="73"/>
      <c r="B329" s="71"/>
    </row>
    <row r="330" spans="1:2" ht="15.75" customHeight="1" x14ac:dyDescent="0.25">
      <c r="A330" s="73"/>
      <c r="B330" s="71"/>
    </row>
    <row r="331" spans="1:2" ht="15.75" customHeight="1" x14ac:dyDescent="0.25">
      <c r="A331" s="73"/>
      <c r="B331" s="71"/>
    </row>
    <row r="332" spans="1:2" ht="15.75" customHeight="1" x14ac:dyDescent="0.25">
      <c r="A332" s="73"/>
      <c r="B332" s="71"/>
    </row>
    <row r="333" spans="1:2" ht="15.75" customHeight="1" x14ac:dyDescent="0.25">
      <c r="A333" s="73"/>
      <c r="B333" s="71"/>
    </row>
    <row r="334" spans="1:2" ht="15.75" customHeight="1" x14ac:dyDescent="0.25">
      <c r="A334" s="73"/>
      <c r="B334" s="71"/>
    </row>
    <row r="335" spans="1:2" ht="15.75" customHeight="1" x14ac:dyDescent="0.25">
      <c r="A335" s="73"/>
      <c r="B335" s="71"/>
    </row>
    <row r="336" spans="1:2" ht="15.75" customHeight="1" x14ac:dyDescent="0.25">
      <c r="A336" s="73"/>
      <c r="B336" s="71"/>
    </row>
    <row r="337" spans="1:2" ht="15.75" customHeight="1" x14ac:dyDescent="0.25">
      <c r="A337" s="73"/>
      <c r="B337" s="71"/>
    </row>
    <row r="338" spans="1:2" ht="15.75" customHeight="1" x14ac:dyDescent="0.25">
      <c r="A338" s="73"/>
      <c r="B338" s="71"/>
    </row>
    <row r="339" spans="1:2" ht="15.75" customHeight="1" x14ac:dyDescent="0.25">
      <c r="A339" s="73"/>
      <c r="B339" s="71"/>
    </row>
    <row r="340" spans="1:2" ht="15.75" customHeight="1" x14ac:dyDescent="0.25">
      <c r="A340" s="73"/>
      <c r="B340" s="71"/>
    </row>
    <row r="341" spans="1:2" ht="15.75" customHeight="1" x14ac:dyDescent="0.25">
      <c r="A341" s="73"/>
      <c r="B341" s="71"/>
    </row>
    <row r="342" spans="1:2" ht="15.75" customHeight="1" x14ac:dyDescent="0.25">
      <c r="A342" s="73"/>
      <c r="B342" s="71"/>
    </row>
    <row r="343" spans="1:2" ht="15.75" customHeight="1" x14ac:dyDescent="0.25">
      <c r="A343" s="73"/>
      <c r="B343" s="71"/>
    </row>
    <row r="344" spans="1:2" ht="15.75" customHeight="1" x14ac:dyDescent="0.25">
      <c r="A344" s="73"/>
      <c r="B344" s="71"/>
    </row>
    <row r="345" spans="1:2" ht="15.75" customHeight="1" x14ac:dyDescent="0.25">
      <c r="A345" s="73"/>
      <c r="B345" s="71"/>
    </row>
    <row r="346" spans="1:2" ht="15.75" customHeight="1" x14ac:dyDescent="0.25">
      <c r="A346" s="73"/>
      <c r="B346" s="71"/>
    </row>
    <row r="347" spans="1:2" ht="15.75" customHeight="1" x14ac:dyDescent="0.25">
      <c r="A347" s="73"/>
      <c r="B347" s="71"/>
    </row>
    <row r="348" spans="1:2" ht="15.75" customHeight="1" x14ac:dyDescent="0.25">
      <c r="A348" s="73"/>
      <c r="B348" s="71"/>
    </row>
    <row r="349" spans="1:2" ht="15.75" customHeight="1" x14ac:dyDescent="0.25">
      <c r="A349" s="73"/>
      <c r="B349" s="71"/>
    </row>
    <row r="350" spans="1:2" ht="15.75" customHeight="1" x14ac:dyDescent="0.25">
      <c r="A350" s="73"/>
      <c r="B350" s="71"/>
    </row>
    <row r="351" spans="1:2" ht="15.75" customHeight="1" x14ac:dyDescent="0.25">
      <c r="A351" s="73"/>
      <c r="B351" s="71"/>
    </row>
    <row r="352" spans="1:2" ht="15.75" customHeight="1" x14ac:dyDescent="0.25">
      <c r="A352" s="73"/>
      <c r="B352" s="71"/>
    </row>
    <row r="353" spans="1:2" ht="15.75" customHeight="1" x14ac:dyDescent="0.25">
      <c r="A353" s="73"/>
      <c r="B353" s="71"/>
    </row>
    <row r="354" spans="1:2" ht="15.75" customHeight="1" x14ac:dyDescent="0.25">
      <c r="A354" s="73"/>
      <c r="B354" s="71"/>
    </row>
    <row r="355" spans="1:2" ht="15.75" customHeight="1" x14ac:dyDescent="0.25">
      <c r="A355" s="73"/>
      <c r="B355" s="71"/>
    </row>
    <row r="356" spans="1:2" ht="15.75" customHeight="1" x14ac:dyDescent="0.25">
      <c r="A356" s="73"/>
      <c r="B356" s="71"/>
    </row>
    <row r="357" spans="1:2" ht="15.75" customHeight="1" x14ac:dyDescent="0.25">
      <c r="A357" s="73"/>
      <c r="B357" s="71"/>
    </row>
    <row r="358" spans="1:2" ht="15.75" customHeight="1" x14ac:dyDescent="0.25">
      <c r="A358" s="73"/>
      <c r="B358" s="71"/>
    </row>
    <row r="359" spans="1:2" ht="15.75" customHeight="1" x14ac:dyDescent="0.25">
      <c r="A359" s="73"/>
      <c r="B359" s="71"/>
    </row>
    <row r="360" spans="1:2" ht="15.75" customHeight="1" x14ac:dyDescent="0.25">
      <c r="A360" s="73"/>
      <c r="B360" s="71"/>
    </row>
    <row r="361" spans="1:2" ht="15.75" customHeight="1" x14ac:dyDescent="0.25">
      <c r="A361" s="73"/>
      <c r="B361" s="71"/>
    </row>
    <row r="362" spans="1:2" ht="15.75" customHeight="1" x14ac:dyDescent="0.25">
      <c r="A362" s="73"/>
      <c r="B362" s="71"/>
    </row>
    <row r="363" spans="1:2" ht="15.75" customHeight="1" x14ac:dyDescent="0.25">
      <c r="A363" s="73"/>
      <c r="B363" s="71"/>
    </row>
    <row r="364" spans="1:2" ht="15.75" customHeight="1" x14ac:dyDescent="0.25">
      <c r="A364" s="73"/>
      <c r="B364" s="71"/>
    </row>
    <row r="365" spans="1:2" ht="15.75" customHeight="1" x14ac:dyDescent="0.25">
      <c r="A365" s="73"/>
      <c r="B365" s="71"/>
    </row>
    <row r="366" spans="1:2" ht="15.75" customHeight="1" x14ac:dyDescent="0.25">
      <c r="A366" s="73"/>
      <c r="B366" s="71"/>
    </row>
    <row r="367" spans="1:2" ht="15.75" customHeight="1" x14ac:dyDescent="0.25">
      <c r="A367" s="73"/>
      <c r="B367" s="71"/>
    </row>
    <row r="368" spans="1:2" ht="15.75" customHeight="1" x14ac:dyDescent="0.25">
      <c r="A368" s="73"/>
      <c r="B368" s="71"/>
    </row>
    <row r="369" spans="1:2" ht="15.75" customHeight="1" x14ac:dyDescent="0.25">
      <c r="A369" s="73"/>
      <c r="B369" s="71"/>
    </row>
    <row r="370" spans="1:2" ht="15.75" customHeight="1" x14ac:dyDescent="0.25">
      <c r="A370" s="73"/>
      <c r="B370" s="71"/>
    </row>
    <row r="371" spans="1:2" ht="15.75" customHeight="1" x14ac:dyDescent="0.25">
      <c r="A371" s="73"/>
      <c r="B371" s="71"/>
    </row>
    <row r="372" spans="1:2" ht="15.75" customHeight="1" x14ac:dyDescent="0.25">
      <c r="A372" s="73"/>
      <c r="B372" s="71"/>
    </row>
    <row r="373" spans="1:2" ht="15.75" customHeight="1" x14ac:dyDescent="0.25">
      <c r="A373" s="73"/>
      <c r="B373" s="71"/>
    </row>
    <row r="374" spans="1:2" ht="15.75" customHeight="1" x14ac:dyDescent="0.25">
      <c r="A374" s="73"/>
      <c r="B374" s="71"/>
    </row>
    <row r="375" spans="1:2" ht="15.75" customHeight="1" x14ac:dyDescent="0.25">
      <c r="A375" s="73"/>
      <c r="B375" s="71"/>
    </row>
    <row r="376" spans="1:2" ht="15.75" customHeight="1" x14ac:dyDescent="0.25">
      <c r="A376" s="73"/>
      <c r="B376" s="71"/>
    </row>
    <row r="377" spans="1:2" ht="15.75" customHeight="1" x14ac:dyDescent="0.25">
      <c r="A377" s="73"/>
      <c r="B377" s="71"/>
    </row>
    <row r="378" spans="1:2" ht="15.75" customHeight="1" x14ac:dyDescent="0.25">
      <c r="A378" s="73"/>
      <c r="B378" s="71"/>
    </row>
    <row r="379" spans="1:2" ht="15.75" customHeight="1" x14ac:dyDescent="0.25">
      <c r="A379" s="73"/>
      <c r="B379" s="71"/>
    </row>
    <row r="380" spans="1:2" ht="15.75" customHeight="1" x14ac:dyDescent="0.25">
      <c r="A380" s="73"/>
      <c r="B380" s="71"/>
    </row>
    <row r="381" spans="1:2" ht="15.75" customHeight="1" x14ac:dyDescent="0.25">
      <c r="A381" s="73"/>
      <c r="B381" s="71"/>
    </row>
    <row r="382" spans="1:2" ht="15.75" customHeight="1" x14ac:dyDescent="0.25">
      <c r="A382" s="73"/>
      <c r="B382" s="71"/>
    </row>
    <row r="383" spans="1:2" ht="15.75" customHeight="1" x14ac:dyDescent="0.25">
      <c r="A383" s="73"/>
      <c r="B383" s="71"/>
    </row>
    <row r="384" spans="1:2" ht="15.75" customHeight="1" x14ac:dyDescent="0.25">
      <c r="A384" s="73"/>
      <c r="B384" s="71"/>
    </row>
    <row r="385" spans="1:2" ht="15.75" customHeight="1" x14ac:dyDescent="0.25">
      <c r="A385" s="73"/>
      <c r="B385" s="71"/>
    </row>
    <row r="386" spans="1:2" ht="15.75" customHeight="1" x14ac:dyDescent="0.25">
      <c r="A386" s="73"/>
      <c r="B386" s="71"/>
    </row>
    <row r="387" spans="1:2" ht="15.75" customHeight="1" x14ac:dyDescent="0.25">
      <c r="A387" s="73"/>
      <c r="B387" s="71"/>
    </row>
    <row r="388" spans="1:2" ht="15.75" customHeight="1" x14ac:dyDescent="0.25">
      <c r="A388" s="73"/>
      <c r="B388" s="71"/>
    </row>
    <row r="389" spans="1:2" ht="15.75" customHeight="1" x14ac:dyDescent="0.25">
      <c r="A389" s="73"/>
      <c r="B389" s="71"/>
    </row>
    <row r="390" spans="1:2" ht="15.75" customHeight="1" x14ac:dyDescent="0.25">
      <c r="A390" s="73"/>
      <c r="B390" s="71"/>
    </row>
    <row r="391" spans="1:2" ht="15.75" customHeight="1" x14ac:dyDescent="0.25">
      <c r="A391" s="73"/>
      <c r="B391" s="71"/>
    </row>
    <row r="392" spans="1:2" ht="15.75" customHeight="1" x14ac:dyDescent="0.25">
      <c r="A392" s="73"/>
      <c r="B392" s="71"/>
    </row>
    <row r="393" spans="1:2" ht="15.75" customHeight="1" x14ac:dyDescent="0.25">
      <c r="A393" s="73"/>
      <c r="B393" s="71"/>
    </row>
    <row r="394" spans="1:2" ht="15.75" customHeight="1" x14ac:dyDescent="0.25">
      <c r="A394" s="73"/>
      <c r="B394" s="71"/>
    </row>
    <row r="395" spans="1:2" ht="15.75" customHeight="1" x14ac:dyDescent="0.25">
      <c r="A395" s="73"/>
      <c r="B395" s="71"/>
    </row>
    <row r="396" spans="1:2" ht="15.75" customHeight="1" x14ac:dyDescent="0.25">
      <c r="A396" s="73"/>
      <c r="B396" s="71"/>
    </row>
    <row r="397" spans="1:2" ht="15.75" customHeight="1" x14ac:dyDescent="0.25">
      <c r="A397" s="73"/>
      <c r="B397" s="71"/>
    </row>
    <row r="398" spans="1:2" ht="15.75" customHeight="1" x14ac:dyDescent="0.25">
      <c r="A398" s="73"/>
      <c r="B398" s="71"/>
    </row>
    <row r="399" spans="1:2" ht="15.75" customHeight="1" x14ac:dyDescent="0.25">
      <c r="A399" s="73"/>
      <c r="B399" s="71"/>
    </row>
    <row r="400" spans="1:2" ht="15.75" customHeight="1" x14ac:dyDescent="0.25">
      <c r="A400" s="73"/>
      <c r="B400" s="71"/>
    </row>
    <row r="401" spans="1:2" ht="15.75" customHeight="1" x14ac:dyDescent="0.25">
      <c r="A401" s="73"/>
      <c r="B401" s="71"/>
    </row>
    <row r="402" spans="1:2" ht="15.75" customHeight="1" x14ac:dyDescent="0.25">
      <c r="A402" s="73"/>
      <c r="B402" s="71"/>
    </row>
    <row r="403" spans="1:2" ht="15.75" customHeight="1" x14ac:dyDescent="0.25">
      <c r="A403" s="73"/>
      <c r="B403" s="71"/>
    </row>
    <row r="404" spans="1:2" ht="15.75" customHeight="1" x14ac:dyDescent="0.25">
      <c r="A404" s="73"/>
      <c r="B404" s="71"/>
    </row>
    <row r="405" spans="1:2" ht="15.75" customHeight="1" x14ac:dyDescent="0.25">
      <c r="A405" s="73"/>
      <c r="B405" s="71"/>
    </row>
    <row r="406" spans="1:2" ht="15.75" customHeight="1" x14ac:dyDescent="0.25">
      <c r="A406" s="73"/>
      <c r="B406" s="71"/>
    </row>
    <row r="407" spans="1:2" ht="15.75" customHeight="1" x14ac:dyDescent="0.25">
      <c r="A407" s="73"/>
      <c r="B407" s="71"/>
    </row>
    <row r="408" spans="1:2" ht="15.75" customHeight="1" x14ac:dyDescent="0.25">
      <c r="A408" s="73"/>
      <c r="B408" s="71"/>
    </row>
    <row r="409" spans="1:2" ht="15.75" customHeight="1" x14ac:dyDescent="0.25">
      <c r="A409" s="73"/>
      <c r="B409" s="71"/>
    </row>
    <row r="410" spans="1:2" ht="15.75" customHeight="1" x14ac:dyDescent="0.25">
      <c r="A410" s="73"/>
      <c r="B410" s="71"/>
    </row>
    <row r="411" spans="1:2" ht="15.75" customHeight="1" x14ac:dyDescent="0.25">
      <c r="A411" s="73"/>
      <c r="B411" s="71"/>
    </row>
    <row r="412" spans="1:2" ht="15.75" customHeight="1" x14ac:dyDescent="0.25">
      <c r="A412" s="73"/>
      <c r="B412" s="71"/>
    </row>
    <row r="413" spans="1:2" ht="15.75" customHeight="1" x14ac:dyDescent="0.25">
      <c r="A413" s="73"/>
      <c r="B413" s="71"/>
    </row>
    <row r="414" spans="1:2" ht="15.75" customHeight="1" x14ac:dyDescent="0.25">
      <c r="A414" s="73"/>
      <c r="B414" s="71"/>
    </row>
    <row r="415" spans="1:2" ht="15.75" customHeight="1" x14ac:dyDescent="0.25">
      <c r="A415" s="73"/>
      <c r="B415" s="71"/>
    </row>
    <row r="416" spans="1:2" ht="15.75" customHeight="1" x14ac:dyDescent="0.25">
      <c r="A416" s="73"/>
      <c r="B416" s="71"/>
    </row>
    <row r="417" spans="1:2" ht="15.75" customHeight="1" x14ac:dyDescent="0.25">
      <c r="A417" s="73"/>
      <c r="B417" s="71"/>
    </row>
    <row r="418" spans="1:2" ht="15.75" customHeight="1" x14ac:dyDescent="0.25">
      <c r="A418" s="73"/>
      <c r="B418" s="71"/>
    </row>
    <row r="419" spans="1:2" ht="15.75" customHeight="1" x14ac:dyDescent="0.25">
      <c r="A419" s="73"/>
      <c r="B419" s="71"/>
    </row>
    <row r="420" spans="1:2" ht="15.75" customHeight="1" x14ac:dyDescent="0.25">
      <c r="A420" s="73"/>
      <c r="B420" s="71"/>
    </row>
    <row r="421" spans="1:2" ht="15.75" customHeight="1" x14ac:dyDescent="0.25">
      <c r="A421" s="73"/>
      <c r="B421" s="71"/>
    </row>
    <row r="422" spans="1:2" ht="15.75" customHeight="1" x14ac:dyDescent="0.25">
      <c r="A422" s="73"/>
      <c r="B422" s="71"/>
    </row>
    <row r="423" spans="1:2" ht="15.75" customHeight="1" x14ac:dyDescent="0.25">
      <c r="A423" s="73"/>
      <c r="B423" s="71"/>
    </row>
    <row r="424" spans="1:2" ht="15.75" customHeight="1" x14ac:dyDescent="0.25">
      <c r="A424" s="73"/>
      <c r="B424" s="71"/>
    </row>
    <row r="425" spans="1:2" ht="15.75" customHeight="1" x14ac:dyDescent="0.25">
      <c r="A425" s="73"/>
      <c r="B425" s="71"/>
    </row>
    <row r="426" spans="1:2" ht="15.75" customHeight="1" x14ac:dyDescent="0.25">
      <c r="A426" s="73"/>
      <c r="B426" s="71"/>
    </row>
    <row r="427" spans="1:2" ht="15.75" customHeight="1" x14ac:dyDescent="0.25">
      <c r="A427" s="73"/>
      <c r="B427" s="71"/>
    </row>
    <row r="428" spans="1:2" ht="15.75" customHeight="1" x14ac:dyDescent="0.25">
      <c r="A428" s="73"/>
      <c r="B428" s="71"/>
    </row>
    <row r="429" spans="1:2" ht="15.75" customHeight="1" x14ac:dyDescent="0.25">
      <c r="A429" s="73"/>
      <c r="B429" s="71"/>
    </row>
    <row r="430" spans="1:2" ht="15.75" customHeight="1" x14ac:dyDescent="0.25">
      <c r="A430" s="73"/>
      <c r="B430" s="71"/>
    </row>
    <row r="431" spans="1:2" ht="15.75" customHeight="1" x14ac:dyDescent="0.25">
      <c r="A431" s="73"/>
      <c r="B431" s="71"/>
    </row>
    <row r="432" spans="1:2" ht="15.75" customHeight="1" x14ac:dyDescent="0.25">
      <c r="A432" s="73"/>
      <c r="B432" s="71"/>
    </row>
    <row r="433" spans="1:2" ht="15.75" customHeight="1" x14ac:dyDescent="0.25">
      <c r="A433" s="73"/>
      <c r="B433" s="71"/>
    </row>
    <row r="434" spans="1:2" ht="15.75" customHeight="1" x14ac:dyDescent="0.25">
      <c r="A434" s="73"/>
      <c r="B434" s="71"/>
    </row>
    <row r="435" spans="1:2" ht="15.75" customHeight="1" x14ac:dyDescent="0.25">
      <c r="A435" s="73"/>
      <c r="B435" s="71"/>
    </row>
    <row r="436" spans="1:2" ht="15.75" customHeight="1" x14ac:dyDescent="0.25">
      <c r="A436" s="73"/>
      <c r="B436" s="71"/>
    </row>
    <row r="437" spans="1:2" ht="15.75" customHeight="1" x14ac:dyDescent="0.25">
      <c r="A437" s="73"/>
      <c r="B437" s="71"/>
    </row>
    <row r="438" spans="1:2" ht="15.75" customHeight="1" x14ac:dyDescent="0.25">
      <c r="A438" s="73"/>
      <c r="B438" s="71"/>
    </row>
    <row r="439" spans="1:2" ht="15.75" customHeight="1" x14ac:dyDescent="0.25">
      <c r="A439" s="73"/>
      <c r="B439" s="71"/>
    </row>
    <row r="440" spans="1:2" ht="15.75" customHeight="1" x14ac:dyDescent="0.25">
      <c r="A440" s="73"/>
      <c r="B440" s="71"/>
    </row>
    <row r="441" spans="1:2" ht="15.75" customHeight="1" x14ac:dyDescent="0.25">
      <c r="A441" s="73"/>
      <c r="B441" s="71"/>
    </row>
    <row r="442" spans="1:2" ht="15.75" customHeight="1" x14ac:dyDescent="0.25">
      <c r="A442" s="73"/>
      <c r="B442" s="71"/>
    </row>
    <row r="443" spans="1:2" ht="15.75" customHeight="1" x14ac:dyDescent="0.25">
      <c r="A443" s="73"/>
      <c r="B443" s="71"/>
    </row>
    <row r="444" spans="1:2" ht="15.75" customHeight="1" x14ac:dyDescent="0.25">
      <c r="A444" s="73"/>
      <c r="B444" s="71"/>
    </row>
    <row r="445" spans="1:2" ht="15.75" customHeight="1" x14ac:dyDescent="0.25">
      <c r="A445" s="73"/>
      <c r="B445" s="71"/>
    </row>
    <row r="446" spans="1:2" ht="15.75" customHeight="1" x14ac:dyDescent="0.25">
      <c r="A446" s="73"/>
      <c r="B446" s="71"/>
    </row>
    <row r="447" spans="1:2" ht="15.75" customHeight="1" x14ac:dyDescent="0.25">
      <c r="A447" s="73"/>
      <c r="B447" s="71"/>
    </row>
    <row r="448" spans="1:2" ht="15.75" customHeight="1" x14ac:dyDescent="0.25">
      <c r="A448" s="73"/>
      <c r="B448" s="71"/>
    </row>
    <row r="449" spans="1:2" ht="15.75" customHeight="1" x14ac:dyDescent="0.25">
      <c r="A449" s="73"/>
      <c r="B449" s="71"/>
    </row>
    <row r="450" spans="1:2" ht="15.75" customHeight="1" x14ac:dyDescent="0.25">
      <c r="A450" s="73"/>
      <c r="B450" s="71"/>
    </row>
    <row r="451" spans="1:2" ht="15.75" customHeight="1" x14ac:dyDescent="0.25">
      <c r="A451" s="73"/>
      <c r="B451" s="71"/>
    </row>
    <row r="452" spans="1:2" ht="15.75" customHeight="1" x14ac:dyDescent="0.25">
      <c r="A452" s="73"/>
      <c r="B452" s="71"/>
    </row>
    <row r="453" spans="1:2" ht="15.75" customHeight="1" x14ac:dyDescent="0.25">
      <c r="A453" s="73"/>
      <c r="B453" s="71"/>
    </row>
    <row r="454" spans="1:2" ht="15.75" customHeight="1" x14ac:dyDescent="0.25">
      <c r="A454" s="73"/>
      <c r="B454" s="71"/>
    </row>
    <row r="455" spans="1:2" ht="15.75" customHeight="1" x14ac:dyDescent="0.25">
      <c r="A455" s="73"/>
      <c r="B455" s="71"/>
    </row>
    <row r="456" spans="1:2" ht="15.75" customHeight="1" x14ac:dyDescent="0.25">
      <c r="A456" s="73"/>
      <c r="B456" s="71"/>
    </row>
    <row r="457" spans="1:2" ht="15.75" customHeight="1" x14ac:dyDescent="0.25">
      <c r="A457" s="73"/>
      <c r="B457" s="71"/>
    </row>
    <row r="458" spans="1:2" ht="15.75" customHeight="1" x14ac:dyDescent="0.25">
      <c r="A458" s="73"/>
      <c r="B458" s="71"/>
    </row>
    <row r="459" spans="1:2" ht="15.75" customHeight="1" x14ac:dyDescent="0.25">
      <c r="A459" s="73"/>
      <c r="B459" s="71"/>
    </row>
    <row r="460" spans="1:2" ht="15.75" customHeight="1" x14ac:dyDescent="0.25">
      <c r="A460" s="73"/>
      <c r="B460" s="71"/>
    </row>
    <row r="461" spans="1:2" ht="15.75" customHeight="1" x14ac:dyDescent="0.25">
      <c r="A461" s="73"/>
      <c r="B461" s="71"/>
    </row>
    <row r="462" spans="1:2" ht="15.75" customHeight="1" x14ac:dyDescent="0.25">
      <c r="A462" s="73"/>
      <c r="B462" s="71"/>
    </row>
    <row r="463" spans="1:2" ht="15.75" customHeight="1" x14ac:dyDescent="0.25">
      <c r="A463" s="73"/>
      <c r="B463" s="71"/>
    </row>
    <row r="464" spans="1:2" ht="15.75" customHeight="1" x14ac:dyDescent="0.25">
      <c r="A464" s="73"/>
      <c r="B464" s="71"/>
    </row>
    <row r="465" spans="1:2" ht="15.75" customHeight="1" x14ac:dyDescent="0.25">
      <c r="A465" s="73"/>
      <c r="B465" s="71"/>
    </row>
    <row r="466" spans="1:2" ht="15.75" customHeight="1" x14ac:dyDescent="0.25">
      <c r="A466" s="73"/>
      <c r="B466" s="71"/>
    </row>
    <row r="467" spans="1:2" ht="15.75" customHeight="1" x14ac:dyDescent="0.25">
      <c r="A467" s="73"/>
      <c r="B467" s="71"/>
    </row>
    <row r="468" spans="1:2" ht="15.75" customHeight="1" x14ac:dyDescent="0.25">
      <c r="A468" s="73"/>
      <c r="B468" s="71"/>
    </row>
    <row r="469" spans="1:2" ht="15.75" customHeight="1" x14ac:dyDescent="0.25">
      <c r="A469" s="73"/>
      <c r="B469" s="71"/>
    </row>
    <row r="470" spans="1:2" ht="15.75" customHeight="1" x14ac:dyDescent="0.25">
      <c r="A470" s="73"/>
      <c r="B470" s="71"/>
    </row>
    <row r="471" spans="1:2" ht="15.75" customHeight="1" x14ac:dyDescent="0.25">
      <c r="A471" s="73"/>
      <c r="B471" s="71"/>
    </row>
    <row r="472" spans="1:2" ht="15.75" customHeight="1" x14ac:dyDescent="0.25">
      <c r="A472" s="73"/>
      <c r="B472" s="71"/>
    </row>
    <row r="473" spans="1:2" ht="15.75" customHeight="1" x14ac:dyDescent="0.25">
      <c r="A473" s="73"/>
      <c r="B473" s="71"/>
    </row>
    <row r="474" spans="1:2" ht="15.75" customHeight="1" x14ac:dyDescent="0.25">
      <c r="A474" s="73"/>
      <c r="B474" s="71"/>
    </row>
    <row r="475" spans="1:2" ht="15.75" customHeight="1" x14ac:dyDescent="0.25">
      <c r="A475" s="73"/>
      <c r="B475" s="71"/>
    </row>
    <row r="476" spans="1:2" ht="15.75" customHeight="1" x14ac:dyDescent="0.25">
      <c r="A476" s="73"/>
      <c r="B476" s="71"/>
    </row>
    <row r="477" spans="1:2" ht="15.75" customHeight="1" x14ac:dyDescent="0.25">
      <c r="A477" s="73"/>
      <c r="B477" s="71"/>
    </row>
    <row r="478" spans="1:2" ht="15.75" customHeight="1" x14ac:dyDescent="0.25">
      <c r="A478" s="73"/>
      <c r="B478" s="71"/>
    </row>
    <row r="479" spans="1:2" ht="15.75" customHeight="1" x14ac:dyDescent="0.25">
      <c r="A479" s="73"/>
      <c r="B479" s="71"/>
    </row>
    <row r="480" spans="1:2" ht="15.75" customHeight="1" x14ac:dyDescent="0.25">
      <c r="A480" s="73"/>
      <c r="B480" s="71"/>
    </row>
    <row r="481" spans="1:2" ht="15.75" customHeight="1" x14ac:dyDescent="0.25">
      <c r="A481" s="73"/>
      <c r="B481" s="71"/>
    </row>
    <row r="482" spans="1:2" ht="15.75" customHeight="1" x14ac:dyDescent="0.25">
      <c r="A482" s="73"/>
      <c r="B482" s="71"/>
    </row>
    <row r="483" spans="1:2" ht="15.75" customHeight="1" x14ac:dyDescent="0.25">
      <c r="A483" s="73"/>
      <c r="B483" s="71"/>
    </row>
    <row r="484" spans="1:2" ht="15.75" customHeight="1" x14ac:dyDescent="0.25">
      <c r="A484" s="73"/>
      <c r="B484" s="71"/>
    </row>
    <row r="485" spans="1:2" ht="15.75" customHeight="1" x14ac:dyDescent="0.25">
      <c r="A485" s="73"/>
      <c r="B485" s="71"/>
    </row>
    <row r="486" spans="1:2" ht="15.75" customHeight="1" x14ac:dyDescent="0.25">
      <c r="A486" s="73"/>
      <c r="B486" s="71"/>
    </row>
    <row r="487" spans="1:2" ht="15.75" customHeight="1" x14ac:dyDescent="0.25">
      <c r="A487" s="73"/>
      <c r="B487" s="71"/>
    </row>
    <row r="488" spans="1:2" ht="15.75" customHeight="1" x14ac:dyDescent="0.25">
      <c r="A488" s="73"/>
      <c r="B488" s="71"/>
    </row>
    <row r="489" spans="1:2" ht="15.75" customHeight="1" x14ac:dyDescent="0.25">
      <c r="A489" s="73"/>
      <c r="B489" s="71"/>
    </row>
    <row r="490" spans="1:2" ht="15.75" customHeight="1" x14ac:dyDescent="0.25">
      <c r="A490" s="73"/>
      <c r="B490" s="71"/>
    </row>
    <row r="491" spans="1:2" ht="15.75" customHeight="1" x14ac:dyDescent="0.25">
      <c r="A491" s="73"/>
      <c r="B491" s="71"/>
    </row>
    <row r="492" spans="1:2" ht="15.75" customHeight="1" x14ac:dyDescent="0.25">
      <c r="A492" s="73"/>
      <c r="B492" s="71"/>
    </row>
    <row r="493" spans="1:2" ht="15.75" customHeight="1" x14ac:dyDescent="0.25">
      <c r="A493" s="73"/>
      <c r="B493" s="71"/>
    </row>
    <row r="494" spans="1:2" ht="15.75" customHeight="1" x14ac:dyDescent="0.25">
      <c r="A494" s="73"/>
      <c r="B494" s="71"/>
    </row>
    <row r="495" spans="1:2" ht="15.75" customHeight="1" x14ac:dyDescent="0.25">
      <c r="A495" s="73"/>
      <c r="B495" s="71"/>
    </row>
    <row r="496" spans="1:2" ht="15.75" customHeight="1" x14ac:dyDescent="0.25">
      <c r="A496" s="73"/>
      <c r="B496" s="71"/>
    </row>
    <row r="497" spans="1:2" ht="15.75" customHeight="1" x14ac:dyDescent="0.25">
      <c r="A497" s="73"/>
      <c r="B497" s="71"/>
    </row>
    <row r="498" spans="1:2" ht="15.75" customHeight="1" x14ac:dyDescent="0.25">
      <c r="A498" s="73"/>
      <c r="B498" s="71"/>
    </row>
    <row r="499" spans="1:2" ht="15.75" customHeight="1" x14ac:dyDescent="0.25">
      <c r="A499" s="73"/>
      <c r="B499" s="71"/>
    </row>
    <row r="500" spans="1:2" ht="15.75" customHeight="1" x14ac:dyDescent="0.25">
      <c r="A500" s="73"/>
      <c r="B500" s="71"/>
    </row>
    <row r="501" spans="1:2" ht="15.75" customHeight="1" x14ac:dyDescent="0.25">
      <c r="A501" s="73"/>
      <c r="B501" s="71"/>
    </row>
    <row r="502" spans="1:2" ht="15.75" customHeight="1" x14ac:dyDescent="0.25">
      <c r="A502" s="73"/>
      <c r="B502" s="71"/>
    </row>
    <row r="503" spans="1:2" ht="15.75" customHeight="1" x14ac:dyDescent="0.25">
      <c r="A503" s="73"/>
      <c r="B503" s="71"/>
    </row>
    <row r="504" spans="1:2" ht="15.75" customHeight="1" x14ac:dyDescent="0.25">
      <c r="A504" s="73"/>
      <c r="B504" s="71"/>
    </row>
    <row r="505" spans="1:2" ht="15.75" customHeight="1" x14ac:dyDescent="0.25">
      <c r="A505" s="73"/>
      <c r="B505" s="71"/>
    </row>
    <row r="506" spans="1:2" ht="15.75" customHeight="1" x14ac:dyDescent="0.25">
      <c r="A506" s="73"/>
      <c r="B506" s="71"/>
    </row>
    <row r="507" spans="1:2" ht="15.75" customHeight="1" x14ac:dyDescent="0.25">
      <c r="A507" s="73"/>
      <c r="B507" s="71"/>
    </row>
    <row r="508" spans="1:2" ht="15.75" customHeight="1" x14ac:dyDescent="0.25">
      <c r="A508" s="73"/>
      <c r="B508" s="71"/>
    </row>
    <row r="509" spans="1:2" ht="15.75" customHeight="1" x14ac:dyDescent="0.25">
      <c r="A509" s="73"/>
      <c r="B509" s="71"/>
    </row>
    <row r="510" spans="1:2" ht="15.75" customHeight="1" x14ac:dyDescent="0.25">
      <c r="A510" s="73"/>
      <c r="B510" s="71"/>
    </row>
    <row r="511" spans="1:2" ht="15.75" customHeight="1" x14ac:dyDescent="0.25">
      <c r="A511" s="73"/>
      <c r="B511" s="71"/>
    </row>
    <row r="512" spans="1:2" ht="15.75" customHeight="1" x14ac:dyDescent="0.25">
      <c r="A512" s="73"/>
      <c r="B512" s="71"/>
    </row>
    <row r="513" spans="1:2" ht="15.75" customHeight="1" x14ac:dyDescent="0.25">
      <c r="A513" s="73"/>
      <c r="B513" s="71"/>
    </row>
    <row r="514" spans="1:2" ht="15.75" customHeight="1" x14ac:dyDescent="0.25">
      <c r="A514" s="73"/>
      <c r="B514" s="71"/>
    </row>
    <row r="515" spans="1:2" ht="15.75" customHeight="1" x14ac:dyDescent="0.25">
      <c r="A515" s="73"/>
      <c r="B515" s="71"/>
    </row>
    <row r="516" spans="1:2" ht="15.75" customHeight="1" x14ac:dyDescent="0.25">
      <c r="A516" s="73"/>
      <c r="B516" s="71"/>
    </row>
    <row r="517" spans="1:2" ht="15.75" customHeight="1" x14ac:dyDescent="0.25">
      <c r="A517" s="73"/>
      <c r="B517" s="71"/>
    </row>
    <row r="518" spans="1:2" ht="15.75" customHeight="1" x14ac:dyDescent="0.25">
      <c r="A518" s="73"/>
      <c r="B518" s="71"/>
    </row>
    <row r="519" spans="1:2" ht="15.75" customHeight="1" x14ac:dyDescent="0.25">
      <c r="A519" s="73"/>
      <c r="B519" s="71"/>
    </row>
    <row r="520" spans="1:2" ht="15.75" customHeight="1" x14ac:dyDescent="0.25">
      <c r="A520" s="73"/>
      <c r="B520" s="71"/>
    </row>
    <row r="521" spans="1:2" ht="15.75" customHeight="1" x14ac:dyDescent="0.25">
      <c r="A521" s="73"/>
      <c r="B521" s="71"/>
    </row>
    <row r="522" spans="1:2" ht="15.75" customHeight="1" x14ac:dyDescent="0.25">
      <c r="A522" s="73"/>
      <c r="B522" s="71"/>
    </row>
    <row r="523" spans="1:2" ht="15.75" customHeight="1" x14ac:dyDescent="0.25">
      <c r="A523" s="73"/>
      <c r="B523" s="71"/>
    </row>
    <row r="524" spans="1:2" ht="15.75" customHeight="1" x14ac:dyDescent="0.25">
      <c r="A524" s="73"/>
      <c r="B524" s="71"/>
    </row>
    <row r="525" spans="1:2" ht="15.75" customHeight="1" x14ac:dyDescent="0.25">
      <c r="A525" s="73"/>
      <c r="B525" s="71"/>
    </row>
    <row r="526" spans="1:2" ht="15.75" customHeight="1" x14ac:dyDescent="0.25">
      <c r="A526" s="73"/>
      <c r="B526" s="71"/>
    </row>
    <row r="527" spans="1:2" ht="15.75" customHeight="1" x14ac:dyDescent="0.25">
      <c r="A527" s="73"/>
      <c r="B527" s="71"/>
    </row>
    <row r="528" spans="1:2" ht="15.75" customHeight="1" x14ac:dyDescent="0.25">
      <c r="A528" s="73"/>
      <c r="B528" s="71"/>
    </row>
    <row r="529" spans="1:2" ht="15.75" customHeight="1" x14ac:dyDescent="0.25">
      <c r="A529" s="73"/>
      <c r="B529" s="71"/>
    </row>
    <row r="530" spans="1:2" ht="15.75" customHeight="1" x14ac:dyDescent="0.25">
      <c r="A530" s="73"/>
      <c r="B530" s="71"/>
    </row>
    <row r="531" spans="1:2" ht="15.75" customHeight="1" x14ac:dyDescent="0.25">
      <c r="A531" s="73"/>
      <c r="B531" s="71"/>
    </row>
    <row r="532" spans="1:2" ht="15.75" customHeight="1" x14ac:dyDescent="0.25">
      <c r="A532" s="73"/>
      <c r="B532" s="71"/>
    </row>
    <row r="533" spans="1:2" ht="15.75" customHeight="1" x14ac:dyDescent="0.25">
      <c r="A533" s="73"/>
      <c r="B533" s="71"/>
    </row>
    <row r="534" spans="1:2" ht="15.75" customHeight="1" x14ac:dyDescent="0.25">
      <c r="A534" s="73"/>
      <c r="B534" s="71"/>
    </row>
    <row r="535" spans="1:2" ht="15.75" customHeight="1" x14ac:dyDescent="0.25">
      <c r="A535" s="73"/>
      <c r="B535" s="71"/>
    </row>
    <row r="536" spans="1:2" ht="15.75" customHeight="1" x14ac:dyDescent="0.25">
      <c r="A536" s="73"/>
      <c r="B536" s="71"/>
    </row>
    <row r="537" spans="1:2" ht="15.75" customHeight="1" x14ac:dyDescent="0.25">
      <c r="A537" s="73"/>
      <c r="B537" s="71"/>
    </row>
    <row r="538" spans="1:2" ht="15.75" customHeight="1" x14ac:dyDescent="0.25">
      <c r="A538" s="73"/>
      <c r="B538" s="71"/>
    </row>
    <row r="539" spans="1:2" ht="15.75" customHeight="1" x14ac:dyDescent="0.25">
      <c r="A539" s="73"/>
      <c r="B539" s="71"/>
    </row>
    <row r="540" spans="1:2" ht="15.75" customHeight="1" x14ac:dyDescent="0.25">
      <c r="A540" s="73"/>
      <c r="B540" s="71"/>
    </row>
    <row r="541" spans="1:2" ht="15.75" customHeight="1" x14ac:dyDescent="0.25">
      <c r="A541" s="73"/>
      <c r="B541" s="71"/>
    </row>
    <row r="542" spans="1:2" ht="15.75" customHeight="1" x14ac:dyDescent="0.25">
      <c r="A542" s="73"/>
      <c r="B542" s="71"/>
    </row>
    <row r="543" spans="1:2" ht="15.75" customHeight="1" x14ac:dyDescent="0.25">
      <c r="A543" s="73"/>
      <c r="B543" s="71"/>
    </row>
    <row r="544" spans="1:2" ht="15.75" customHeight="1" x14ac:dyDescent="0.25">
      <c r="A544" s="73"/>
      <c r="B544" s="71"/>
    </row>
    <row r="545" spans="1:2" ht="15.75" customHeight="1" x14ac:dyDescent="0.25">
      <c r="A545" s="73"/>
      <c r="B545" s="71"/>
    </row>
  </sheetData>
  <autoFilter ref="A1:AM192" xr:uid="{00000000-0009-0000-0000-000001000000}"/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ErrorMessage="1" xr:uid="{00000000-0002-0000-0100-000000000000}">
          <x14:formula1>
            <xm:f>'NO MODIFICAR'!$I$3:$I$5</xm:f>
          </x14:formula1>
          <xm:sqref>U3:U187</xm:sqref>
        </x14:dataValidation>
        <x14:dataValidation type="list" allowBlank="1" showErrorMessage="1" xr:uid="{00000000-0002-0000-0100-000001000000}">
          <x14:formula1>
            <xm:f>'NO MODIFICAR'!$D$3:$D$12</xm:f>
          </x14:formula1>
          <xm:sqref>P9</xm:sqref>
        </x14:dataValidation>
        <x14:dataValidation type="list" allowBlank="1" showErrorMessage="1" xr:uid="{00000000-0002-0000-0100-000002000000}">
          <x14:formula1>
            <xm:f>'NO MODIFICAR'!$S$3:$S$6</xm:f>
          </x14:formula1>
          <xm:sqref>AH3:AH6 AG7 AH8:AH187</xm:sqref>
        </x14:dataValidation>
        <x14:dataValidation type="list" allowBlank="1" showErrorMessage="1" xr:uid="{00000000-0002-0000-0100-000003000000}">
          <x14:formula1>
            <xm:f>'NO MODIFICAR'!$H$3:$H$9</xm:f>
          </x14:formula1>
          <xm:sqref>M3:M187</xm:sqref>
        </x14:dataValidation>
        <x14:dataValidation type="list" allowBlank="1" showErrorMessage="1" xr:uid="{00000000-0002-0000-0100-000004000000}">
          <x14:formula1>
            <xm:f>'NO MODIFICAR'!$F$4:$F$10</xm:f>
          </x14:formula1>
          <xm:sqref>AL15:AL187</xm:sqref>
        </x14:dataValidation>
        <x14:dataValidation type="list" allowBlank="1" showErrorMessage="1" xr:uid="{00000000-0002-0000-0100-000005000000}">
          <x14:formula1>
            <xm:f>'NO MODIFICAR'!$F$4:$F$8</xm:f>
          </x14:formula1>
          <xm:sqref>AL3:AL14</xm:sqref>
        </x14:dataValidation>
        <x14:dataValidation type="list" allowBlank="1" showErrorMessage="1" xr:uid="{00000000-0002-0000-0100-000006000000}">
          <x14:formula1>
            <xm:f>'NO MODIFICAR'!$E$3:$E$9</xm:f>
          </x14:formula1>
          <xm:sqref>L3:L187</xm:sqref>
        </x14:dataValidation>
        <x14:dataValidation type="list" allowBlank="1" showErrorMessage="1" xr:uid="{00000000-0002-0000-0100-000007000000}">
          <x14:formula1>
            <xm:f>'NO MODIFICAR'!$K$3:$K$5</xm:f>
          </x14:formula1>
          <xm:sqref>X3:Z6 W7:Y7 X8:Z9 X10:AA10 X11:Z40 AC43:AD49 X43:AA47 X41:AD42 X173:Z187 X170:AA172 AC170:AE172 X48:Z169</xm:sqref>
        </x14:dataValidation>
        <x14:dataValidation type="list" allowBlank="1" showErrorMessage="1" xr:uid="{00000000-0002-0000-0100-000008000000}">
          <x14:formula1>
            <xm:f>'NO MODIFICAR'!$N$3:$N$5</xm:f>
          </x14:formula1>
          <xm:sqref>AB3:AC6 AA7:AB7 AB8:AC40 AB43:AB49 AB173:AC187 AB170:AB172 AB50:AC169</xm:sqref>
        </x14:dataValidation>
        <x14:dataValidation type="list" allowBlank="1" showErrorMessage="1" xr:uid="{00000000-0002-0000-0100-000009000000}">
          <x14:formula1>
            <xm:f>'NO MODIFICAR'!$C$4:$C$5</xm:f>
          </x14:formula1>
          <xm:sqref>I193:I280 I3:I191</xm:sqref>
        </x14:dataValidation>
        <x14:dataValidation type="list" allowBlank="1" showErrorMessage="1" xr:uid="{00000000-0002-0000-0100-00000A000000}">
          <x14:formula1>
            <xm:f>'NO MODIFICAR'!$B$3:$B$4</xm:f>
          </x14:formula1>
          <xm:sqref>B3:B187</xm:sqref>
        </x14:dataValidation>
        <x14:dataValidation type="list" allowBlank="1" showErrorMessage="1" xr:uid="{00000000-0002-0000-0100-00000B000000}">
          <x14:formula1>
            <xm:f>'NO MODIFICAR'!$D$4:$D$12</xm:f>
          </x14:formula1>
          <xm:sqref>P3:P8 P193:P233 P10:P191</xm:sqref>
        </x14:dataValidation>
        <x14:dataValidation type="list" allowBlank="1" showErrorMessage="1" xr:uid="{00000000-0002-0000-0100-00000C000000}">
          <x14:formula1>
            <xm:f>'NO MODIFICAR'!$R$3:$R$5</xm:f>
          </x14:formula1>
          <xm:sqref>AE3:AG6 AI3:AJ6 AD7:AF7 AH7:AJ7 AF170:AG172 AE173:AG187 AE8:AG169 AI8:AJ187</xm:sqref>
        </x14:dataValidation>
        <x14:dataValidation type="list" allowBlank="1" showErrorMessage="1" xr:uid="{00000000-0002-0000-0100-00000D000000}">
          <x14:formula1>
            <xm:f>'NO MODIFICAR'!$P$3:$P$7</xm:f>
          </x14:formula1>
          <xm:sqref>AD3:AD6 AC7 AD8:AD40 AD173:AD187 AD50:AD169</xm:sqref>
        </x14:dataValidation>
        <x14:dataValidation type="list" allowBlank="1" showErrorMessage="1" xr:uid="{00000000-0002-0000-0100-00000E000000}">
          <x14:formula1>
            <xm:f>'NO MODIFICAR'!$L$3:$L$5</xm:f>
          </x14:formula1>
          <xm:sqref>AA3:AA6 Z7 AA8:AA9 AA11:AA40 AA173:AA187 AA48:AA169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J998"/>
  <sheetViews>
    <sheetView zoomScale="70" zoomScaleNormal="70" workbookViewId="0"/>
  </sheetViews>
  <sheetFormatPr baseColWidth="10" defaultColWidth="14.42578125" defaultRowHeight="15" customHeight="1" x14ac:dyDescent="0.25"/>
  <cols>
    <col min="1" max="2" width="10.7109375" customWidth="1"/>
    <col min="3" max="3" width="12.7109375" customWidth="1"/>
    <col min="4" max="4" width="10.7109375" customWidth="1"/>
    <col min="5" max="5" width="14.5703125" customWidth="1"/>
    <col min="6" max="6" width="15.5703125" customWidth="1"/>
    <col min="7" max="7" width="16" customWidth="1"/>
    <col min="8" max="8" width="20.5703125" customWidth="1"/>
    <col min="9" max="33" width="10.7109375" customWidth="1"/>
    <col min="34" max="34" width="16" customWidth="1"/>
    <col min="35" max="35" width="20.140625" customWidth="1"/>
    <col min="36" max="36" width="64.5703125" customWidth="1"/>
  </cols>
  <sheetData>
    <row r="1" spans="1:36" ht="77.25" customHeight="1" x14ac:dyDescent="0.25">
      <c r="A1" s="2" t="s">
        <v>0</v>
      </c>
      <c r="B1" s="3" t="s">
        <v>1</v>
      </c>
      <c r="C1" s="4" t="s">
        <v>2</v>
      </c>
      <c r="D1" s="4" t="s">
        <v>3</v>
      </c>
      <c r="E1" s="4" t="s">
        <v>339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340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17</v>
      </c>
      <c r="Q1" s="4" t="s">
        <v>18</v>
      </c>
      <c r="R1" s="4" t="s">
        <v>19</v>
      </c>
      <c r="S1" s="4" t="s">
        <v>21</v>
      </c>
      <c r="T1" s="4" t="s">
        <v>22</v>
      </c>
      <c r="U1" s="7" t="s">
        <v>23</v>
      </c>
      <c r="V1" s="7" t="s">
        <v>24</v>
      </c>
      <c r="W1" s="7" t="s">
        <v>25</v>
      </c>
      <c r="X1" s="7" t="s">
        <v>26</v>
      </c>
      <c r="Y1" s="7" t="s">
        <v>27</v>
      </c>
      <c r="Z1" s="7" t="s">
        <v>28</v>
      </c>
      <c r="AA1" s="7" t="s">
        <v>29</v>
      </c>
      <c r="AB1" s="7" t="s">
        <v>30</v>
      </c>
      <c r="AC1" s="7" t="s">
        <v>31</v>
      </c>
      <c r="AD1" s="7" t="s">
        <v>32</v>
      </c>
      <c r="AE1" s="7" t="s">
        <v>33</v>
      </c>
      <c r="AF1" s="7" t="s">
        <v>34</v>
      </c>
      <c r="AG1" s="7" t="s">
        <v>35</v>
      </c>
      <c r="AH1" s="4" t="s">
        <v>4</v>
      </c>
      <c r="AI1" s="4" t="s">
        <v>36</v>
      </c>
      <c r="AJ1" s="4" t="s">
        <v>37</v>
      </c>
    </row>
    <row r="2" spans="1:36" ht="43.5" customHeight="1" x14ac:dyDescent="0.25">
      <c r="A2" s="74">
        <v>1</v>
      </c>
      <c r="B2" s="49" t="s">
        <v>172</v>
      </c>
      <c r="C2" s="12">
        <v>45097</v>
      </c>
      <c r="D2" s="13">
        <v>6</v>
      </c>
      <c r="E2" s="12">
        <v>45103</v>
      </c>
      <c r="F2" s="14" t="s">
        <v>85</v>
      </c>
      <c r="G2" s="15" t="s">
        <v>86</v>
      </c>
      <c r="H2" s="15" t="s">
        <v>87</v>
      </c>
      <c r="I2" s="13" t="s">
        <v>59</v>
      </c>
      <c r="J2" s="13">
        <v>72</v>
      </c>
      <c r="K2" s="13" t="s">
        <v>88</v>
      </c>
      <c r="L2" s="13" t="s">
        <v>44</v>
      </c>
      <c r="M2" s="12">
        <v>18574</v>
      </c>
      <c r="N2" s="13">
        <v>200530684</v>
      </c>
      <c r="O2" s="13" t="s">
        <v>89</v>
      </c>
      <c r="P2" s="13" t="s">
        <v>91</v>
      </c>
      <c r="Q2" s="13">
        <v>1201</v>
      </c>
      <c r="R2" s="13" t="s">
        <v>48</v>
      </c>
      <c r="S2" s="13">
        <v>978396779</v>
      </c>
      <c r="T2" s="13" t="s">
        <v>50</v>
      </c>
      <c r="U2" s="13" t="s">
        <v>51</v>
      </c>
      <c r="V2" s="13" t="s">
        <v>52</v>
      </c>
      <c r="W2" s="13" t="s">
        <v>51</v>
      </c>
      <c r="X2" s="13" t="s">
        <v>53</v>
      </c>
      <c r="Y2" s="13" t="s">
        <v>51</v>
      </c>
      <c r="Z2" s="13" t="s">
        <v>54</v>
      </c>
      <c r="AA2" s="16" t="s">
        <v>178</v>
      </c>
      <c r="AB2" s="13" t="s">
        <v>54</v>
      </c>
      <c r="AC2" s="13" t="s">
        <v>54</v>
      </c>
      <c r="AD2" s="13" t="s">
        <v>54</v>
      </c>
      <c r="AE2" s="13" t="s">
        <v>108</v>
      </c>
      <c r="AF2" s="13" t="s">
        <v>54</v>
      </c>
      <c r="AG2" s="13" t="s">
        <v>51</v>
      </c>
      <c r="AH2" s="52">
        <v>45103</v>
      </c>
      <c r="AI2" s="17" t="s">
        <v>175</v>
      </c>
      <c r="AJ2" s="29" t="s">
        <v>179</v>
      </c>
    </row>
    <row r="3" spans="1:36" ht="34.5" customHeight="1" x14ac:dyDescent="0.25">
      <c r="A3" s="74">
        <v>2</v>
      </c>
      <c r="B3" s="49" t="s">
        <v>172</v>
      </c>
      <c r="C3" s="12">
        <v>45098</v>
      </c>
      <c r="D3" s="13">
        <v>5</v>
      </c>
      <c r="E3" s="12">
        <v>45105</v>
      </c>
      <c r="F3" s="14" t="s">
        <v>180</v>
      </c>
      <c r="G3" s="15" t="s">
        <v>181</v>
      </c>
      <c r="H3" s="15" t="s">
        <v>182</v>
      </c>
      <c r="I3" s="13" t="s">
        <v>42</v>
      </c>
      <c r="J3" s="13">
        <v>81</v>
      </c>
      <c r="K3" s="13" t="s">
        <v>183</v>
      </c>
      <c r="L3" s="13" t="s">
        <v>44</v>
      </c>
      <c r="M3" s="12">
        <v>15325</v>
      </c>
      <c r="N3" s="13">
        <v>200637648</v>
      </c>
      <c r="O3" s="13" t="s">
        <v>73</v>
      </c>
      <c r="P3" s="13" t="s">
        <v>184</v>
      </c>
      <c r="Q3" s="13">
        <v>902</v>
      </c>
      <c r="R3" s="13" t="s">
        <v>48</v>
      </c>
      <c r="S3" s="75">
        <v>976633523</v>
      </c>
      <c r="T3" s="13" t="s">
        <v>50</v>
      </c>
      <c r="U3" s="13" t="s">
        <v>52</v>
      </c>
      <c r="V3" s="13" t="s">
        <v>51</v>
      </c>
      <c r="W3" s="13" t="s">
        <v>51</v>
      </c>
      <c r="X3" s="13" t="s">
        <v>51</v>
      </c>
      <c r="Y3" s="13" t="s">
        <v>54</v>
      </c>
      <c r="Z3" s="13" t="s">
        <v>76</v>
      </c>
      <c r="AA3" s="16" t="s">
        <v>107</v>
      </c>
      <c r="AB3" s="13" t="s">
        <v>54</v>
      </c>
      <c r="AC3" s="13" t="s">
        <v>54</v>
      </c>
      <c r="AD3" s="13" t="s">
        <v>54</v>
      </c>
      <c r="AE3" s="13" t="s">
        <v>51</v>
      </c>
      <c r="AF3" s="13" t="s">
        <v>51</v>
      </c>
      <c r="AG3" s="13" t="s">
        <v>51</v>
      </c>
      <c r="AH3" s="25">
        <v>45105</v>
      </c>
      <c r="AI3" s="17" t="s">
        <v>185</v>
      </c>
      <c r="AJ3" s="17" t="s">
        <v>186</v>
      </c>
    </row>
    <row r="4" spans="1:36" ht="34.5" customHeight="1" x14ac:dyDescent="0.25">
      <c r="A4" s="74">
        <v>3</v>
      </c>
      <c r="B4" s="49" t="s">
        <v>172</v>
      </c>
      <c r="C4" s="12">
        <v>45098</v>
      </c>
      <c r="D4" s="13">
        <v>9</v>
      </c>
      <c r="E4" s="12">
        <v>45106</v>
      </c>
      <c r="F4" s="14" t="s">
        <v>187</v>
      </c>
      <c r="G4" s="15" t="s">
        <v>188</v>
      </c>
      <c r="H4" s="15" t="s">
        <v>189</v>
      </c>
      <c r="I4" s="13" t="s">
        <v>59</v>
      </c>
      <c r="J4" s="13">
        <v>82</v>
      </c>
      <c r="K4" s="13" t="s">
        <v>190</v>
      </c>
      <c r="L4" s="13" t="s">
        <v>44</v>
      </c>
      <c r="M4" s="12">
        <v>14939</v>
      </c>
      <c r="N4" s="13">
        <v>2010061357</v>
      </c>
      <c r="O4" s="13" t="s">
        <v>73</v>
      </c>
      <c r="P4" s="13" t="s">
        <v>191</v>
      </c>
      <c r="Q4" s="13" t="s">
        <v>64</v>
      </c>
      <c r="R4" s="13" t="s">
        <v>192</v>
      </c>
      <c r="S4" s="13">
        <v>966736600</v>
      </c>
      <c r="T4" s="13" t="s">
        <v>50</v>
      </c>
      <c r="U4" s="13" t="s">
        <v>52</v>
      </c>
      <c r="V4" s="13" t="s">
        <v>51</v>
      </c>
      <c r="W4" s="13" t="s">
        <v>51</v>
      </c>
      <c r="X4" s="13" t="s">
        <v>51</v>
      </c>
      <c r="Y4" s="13" t="s">
        <v>54</v>
      </c>
      <c r="Z4" s="13" t="s">
        <v>51</v>
      </c>
      <c r="AA4" s="16" t="s">
        <v>193</v>
      </c>
      <c r="AB4" s="13" t="s">
        <v>54</v>
      </c>
      <c r="AC4" s="13" t="s">
        <v>54</v>
      </c>
      <c r="AD4" s="13" t="s">
        <v>54</v>
      </c>
      <c r="AE4" s="13" t="s">
        <v>51</v>
      </c>
      <c r="AF4" s="13" t="s">
        <v>51</v>
      </c>
      <c r="AG4" s="13" t="s">
        <v>51</v>
      </c>
      <c r="AH4" s="25">
        <v>45106</v>
      </c>
      <c r="AI4" s="17" t="s">
        <v>185</v>
      </c>
      <c r="AJ4" s="17" t="s">
        <v>186</v>
      </c>
    </row>
    <row r="5" spans="1:36" ht="43.5" customHeight="1" x14ac:dyDescent="0.25">
      <c r="A5" s="74">
        <v>4</v>
      </c>
      <c r="B5" s="49" t="s">
        <v>172</v>
      </c>
      <c r="C5" s="12">
        <v>45102</v>
      </c>
      <c r="D5" s="13">
        <v>3</v>
      </c>
      <c r="E5" s="12">
        <v>45105</v>
      </c>
      <c r="F5" s="14" t="s">
        <v>205</v>
      </c>
      <c r="G5" s="15" t="s">
        <v>206</v>
      </c>
      <c r="H5" s="15" t="s">
        <v>207</v>
      </c>
      <c r="I5" s="13" t="s">
        <v>59</v>
      </c>
      <c r="J5" s="13">
        <v>63</v>
      </c>
      <c r="K5" s="13" t="s">
        <v>208</v>
      </c>
      <c r="L5" s="13" t="s">
        <v>44</v>
      </c>
      <c r="M5" s="12">
        <v>21770</v>
      </c>
      <c r="N5" s="13">
        <v>200636439</v>
      </c>
      <c r="O5" s="13" t="s">
        <v>73</v>
      </c>
      <c r="P5" s="13" t="s">
        <v>210</v>
      </c>
      <c r="Q5" s="13">
        <v>641</v>
      </c>
      <c r="R5" s="13" t="s">
        <v>48</v>
      </c>
      <c r="S5" s="13">
        <v>937548284</v>
      </c>
      <c r="T5" s="13" t="s">
        <v>50</v>
      </c>
      <c r="U5" s="13" t="s">
        <v>51</v>
      </c>
      <c r="V5" s="13" t="s">
        <v>51</v>
      </c>
      <c r="W5" s="13" t="s">
        <v>51</v>
      </c>
      <c r="X5" s="13" t="s">
        <v>51</v>
      </c>
      <c r="Y5" s="13" t="s">
        <v>54</v>
      </c>
      <c r="Z5" s="13" t="s">
        <v>51</v>
      </c>
      <c r="AA5" s="16" t="s">
        <v>51</v>
      </c>
      <c r="AB5" s="13" t="s">
        <v>54</v>
      </c>
      <c r="AC5" s="13" t="s">
        <v>54</v>
      </c>
      <c r="AD5" s="13" t="s">
        <v>54</v>
      </c>
      <c r="AE5" s="13" t="s">
        <v>51</v>
      </c>
      <c r="AF5" s="13" t="s">
        <v>51</v>
      </c>
      <c r="AG5" s="13" t="s">
        <v>51</v>
      </c>
      <c r="AH5" s="25">
        <v>45105</v>
      </c>
      <c r="AI5" s="17" t="s">
        <v>185</v>
      </c>
      <c r="AJ5" s="17" t="s">
        <v>186</v>
      </c>
    </row>
    <row r="6" spans="1:36" ht="39.75" customHeight="1" x14ac:dyDescent="0.25">
      <c r="A6" s="74">
        <v>5</v>
      </c>
      <c r="B6" s="49" t="s">
        <v>172</v>
      </c>
      <c r="C6" s="12">
        <v>45101</v>
      </c>
      <c r="D6" s="13">
        <v>7</v>
      </c>
      <c r="E6" s="12">
        <v>45104</v>
      </c>
      <c r="F6" s="14" t="s">
        <v>56</v>
      </c>
      <c r="G6" s="15" t="s">
        <v>211</v>
      </c>
      <c r="H6" s="15" t="s">
        <v>211</v>
      </c>
      <c r="I6" s="13" t="s">
        <v>59</v>
      </c>
      <c r="J6" s="13">
        <v>71</v>
      </c>
      <c r="K6" s="13" t="s">
        <v>212</v>
      </c>
      <c r="L6" s="13" t="s">
        <v>44</v>
      </c>
      <c r="M6" s="12">
        <v>18896</v>
      </c>
      <c r="N6" s="13">
        <v>200747561</v>
      </c>
      <c r="O6" s="13" t="s">
        <v>73</v>
      </c>
      <c r="P6" s="13" t="s">
        <v>214</v>
      </c>
      <c r="Q6" s="13" t="s">
        <v>64</v>
      </c>
      <c r="R6" s="13" t="s">
        <v>100</v>
      </c>
      <c r="S6" s="13">
        <v>946696146</v>
      </c>
      <c r="T6" s="13" t="s">
        <v>50</v>
      </c>
      <c r="U6" s="13" t="s">
        <v>51</v>
      </c>
      <c r="V6" s="13" t="s">
        <v>51</v>
      </c>
      <c r="W6" s="13" t="s">
        <v>51</v>
      </c>
      <c r="X6" s="13" t="s">
        <v>51</v>
      </c>
      <c r="Y6" s="13" t="s">
        <v>54</v>
      </c>
      <c r="Z6" s="13" t="s">
        <v>51</v>
      </c>
      <c r="AA6" s="16" t="s">
        <v>51</v>
      </c>
      <c r="AB6" s="13" t="s">
        <v>54</v>
      </c>
      <c r="AC6" s="13" t="s">
        <v>54</v>
      </c>
      <c r="AD6" s="13" t="s">
        <v>54</v>
      </c>
      <c r="AE6" s="13" t="s">
        <v>51</v>
      </c>
      <c r="AF6" s="13" t="s">
        <v>51</v>
      </c>
      <c r="AG6" s="13" t="s">
        <v>51</v>
      </c>
      <c r="AH6" s="25">
        <v>45104</v>
      </c>
      <c r="AI6" s="17" t="s">
        <v>185</v>
      </c>
      <c r="AJ6" s="17" t="s">
        <v>186</v>
      </c>
    </row>
    <row r="7" spans="1:36" ht="36.75" customHeight="1" x14ac:dyDescent="0.25">
      <c r="A7" s="74">
        <v>6</v>
      </c>
      <c r="B7" s="49" t="s">
        <v>172</v>
      </c>
      <c r="C7" s="12">
        <v>45102</v>
      </c>
      <c r="D7" s="13">
        <v>5</v>
      </c>
      <c r="E7" s="12">
        <v>45105</v>
      </c>
      <c r="F7" s="14" t="s">
        <v>220</v>
      </c>
      <c r="G7" s="15" t="s">
        <v>221</v>
      </c>
      <c r="H7" s="15" t="s">
        <v>222</v>
      </c>
      <c r="I7" s="13" t="s">
        <v>42</v>
      </c>
      <c r="J7" s="13">
        <v>74</v>
      </c>
      <c r="K7" s="13" t="s">
        <v>223</v>
      </c>
      <c r="L7" s="13" t="s">
        <v>44</v>
      </c>
      <c r="M7" s="12">
        <v>17939</v>
      </c>
      <c r="N7" s="13">
        <v>99001026</v>
      </c>
      <c r="O7" s="13" t="s">
        <v>89</v>
      </c>
      <c r="P7" s="13" t="s">
        <v>225</v>
      </c>
      <c r="Q7" s="13" t="s">
        <v>64</v>
      </c>
      <c r="R7" s="13" t="s">
        <v>100</v>
      </c>
      <c r="S7" s="13">
        <v>971960450</v>
      </c>
      <c r="T7" s="13" t="s">
        <v>50</v>
      </c>
      <c r="U7" s="13" t="s">
        <v>52</v>
      </c>
      <c r="V7" s="13" t="s">
        <v>51</v>
      </c>
      <c r="W7" s="13" t="s">
        <v>51</v>
      </c>
      <c r="X7" s="13" t="s">
        <v>51</v>
      </c>
      <c r="Y7" s="13" t="s">
        <v>76</v>
      </c>
      <c r="Z7" s="13" t="s">
        <v>51</v>
      </c>
      <c r="AA7" s="16" t="s">
        <v>51</v>
      </c>
      <c r="AB7" s="13" t="s">
        <v>54</v>
      </c>
      <c r="AC7" s="13" t="s">
        <v>54</v>
      </c>
      <c r="AD7" s="13" t="s">
        <v>54</v>
      </c>
      <c r="AE7" s="13" t="s">
        <v>51</v>
      </c>
      <c r="AF7" s="13" t="s">
        <v>51</v>
      </c>
      <c r="AG7" s="13" t="s">
        <v>51</v>
      </c>
      <c r="AH7" s="25">
        <v>45105</v>
      </c>
      <c r="AI7" s="17" t="s">
        <v>185</v>
      </c>
      <c r="AJ7" s="17" t="s">
        <v>226</v>
      </c>
    </row>
    <row r="8" spans="1:36" ht="47.25" customHeight="1" x14ac:dyDescent="0.25">
      <c r="A8" s="74">
        <v>7</v>
      </c>
      <c r="B8" s="49" t="s">
        <v>172</v>
      </c>
      <c r="C8" s="12">
        <v>45104</v>
      </c>
      <c r="D8" s="13">
        <v>2</v>
      </c>
      <c r="E8" s="12">
        <v>45106</v>
      </c>
      <c r="F8" s="14" t="s">
        <v>242</v>
      </c>
      <c r="G8" s="15" t="s">
        <v>243</v>
      </c>
      <c r="H8" s="15" t="s">
        <v>243</v>
      </c>
      <c r="I8" s="13" t="s">
        <v>59</v>
      </c>
      <c r="J8" s="13">
        <v>74</v>
      </c>
      <c r="K8" s="13" t="s">
        <v>244</v>
      </c>
      <c r="L8" s="13" t="s">
        <v>44</v>
      </c>
      <c r="M8" s="12">
        <v>17713</v>
      </c>
      <c r="N8" s="13">
        <v>200635665</v>
      </c>
      <c r="O8" s="13" t="s">
        <v>89</v>
      </c>
      <c r="P8" s="60" t="s">
        <v>245</v>
      </c>
      <c r="Q8" s="13">
        <v>1215</v>
      </c>
      <c r="R8" s="13" t="s">
        <v>65</v>
      </c>
      <c r="S8" s="60">
        <v>979963602</v>
      </c>
      <c r="T8" s="13" t="s">
        <v>67</v>
      </c>
      <c r="U8" s="13" t="s">
        <v>51</v>
      </c>
      <c r="V8" s="13" t="s">
        <v>51</v>
      </c>
      <c r="W8" s="13" t="s">
        <v>51</v>
      </c>
      <c r="X8" s="13" t="s">
        <v>51</v>
      </c>
      <c r="Y8" s="13" t="s">
        <v>51</v>
      </c>
      <c r="Z8" s="13" t="s">
        <v>51</v>
      </c>
      <c r="AA8" s="16" t="s">
        <v>51</v>
      </c>
      <c r="AB8" s="13" t="s">
        <v>54</v>
      </c>
      <c r="AC8" s="13" t="s">
        <v>54</v>
      </c>
      <c r="AD8" s="13" t="s">
        <v>54</v>
      </c>
      <c r="AE8" s="13" t="s">
        <v>51</v>
      </c>
      <c r="AF8" s="13" t="s">
        <v>51</v>
      </c>
      <c r="AG8" s="13" t="s">
        <v>51</v>
      </c>
      <c r="AH8" s="25">
        <v>45106</v>
      </c>
      <c r="AI8" s="17" t="s">
        <v>185</v>
      </c>
      <c r="AJ8" s="17" t="s">
        <v>186</v>
      </c>
    </row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ErrorMessage="1" xr:uid="{00000000-0002-0000-0200-000000000000}">
          <x14:formula1>
            <xm:f>'NO MODIFICAR'!$K$3:$K$5</xm:f>
          </x14:formula1>
          <xm:sqref>U2:W4 U5:X5 U6:W8</xm:sqref>
        </x14:dataValidation>
        <x14:dataValidation type="list" allowBlank="1" showErrorMessage="1" xr:uid="{00000000-0002-0000-0200-000001000000}">
          <x14:formula1>
            <xm:f>'NO MODIFICAR'!$N$3:$N$5</xm:f>
          </x14:formula1>
          <xm:sqref>Y2:Z8</xm:sqref>
        </x14:dataValidation>
        <x14:dataValidation type="list" allowBlank="1" showErrorMessage="1" xr:uid="{00000000-0002-0000-0200-000002000000}">
          <x14:formula1>
            <xm:f>'NO MODIFICAR'!$C$4:$C$5</xm:f>
          </x14:formula1>
          <xm:sqref>I2:I8</xm:sqref>
        </x14:dataValidation>
        <x14:dataValidation type="list" allowBlank="1" showErrorMessage="1" xr:uid="{00000000-0002-0000-0200-000003000000}">
          <x14:formula1>
            <xm:f>'NO MODIFICAR'!$S$3:$S$6</xm:f>
          </x14:formula1>
          <xm:sqref>AE2:AE8</xm:sqref>
        </x14:dataValidation>
        <x14:dataValidation type="list" allowBlank="1" showErrorMessage="1" xr:uid="{00000000-0002-0000-0200-000004000000}">
          <x14:formula1>
            <xm:f>'NO MODIFICAR'!$B$3:$B$4</xm:f>
          </x14:formula1>
          <xm:sqref>B2:B8</xm:sqref>
        </x14:dataValidation>
        <x14:dataValidation type="list" allowBlank="1" showErrorMessage="1" xr:uid="{00000000-0002-0000-0200-000005000000}">
          <x14:formula1>
            <xm:f>'NO MODIFICAR'!$D$4:$D$12</xm:f>
          </x14:formula1>
          <xm:sqref>O2:O8</xm:sqref>
        </x14:dataValidation>
        <x14:dataValidation type="list" allowBlank="1" showErrorMessage="1" xr:uid="{00000000-0002-0000-0200-000006000000}">
          <x14:formula1>
            <xm:f>'NO MODIFICAR'!$H$3:$H$5</xm:f>
          </x14:formula1>
          <xm:sqref>L2:L8</xm:sqref>
        </x14:dataValidation>
        <x14:dataValidation type="list" allowBlank="1" showErrorMessage="1" xr:uid="{00000000-0002-0000-0200-000007000000}">
          <x14:formula1>
            <xm:f>'NO MODIFICAR'!$R$3:$R$5</xm:f>
          </x14:formula1>
          <xm:sqref>AB2:AD8 AF2:AG8</xm:sqref>
        </x14:dataValidation>
        <x14:dataValidation type="list" allowBlank="1" showErrorMessage="1" xr:uid="{00000000-0002-0000-0200-000008000000}">
          <x14:formula1>
            <xm:f>'NO MODIFICAR'!$P$3:$P$7</xm:f>
          </x14:formula1>
          <xm:sqref>AA2:AA8</xm:sqref>
        </x14:dataValidation>
        <x14:dataValidation type="list" allowBlank="1" showErrorMessage="1" xr:uid="{00000000-0002-0000-0200-000009000000}">
          <x14:formula1>
            <xm:f>'NO MODIFICAR'!$L$3:$L$5</xm:f>
          </x14:formula1>
          <xm:sqref>X2:X4 X6:X8</xm:sqref>
        </x14:dataValidation>
        <x14:dataValidation type="list" allowBlank="1" showErrorMessage="1" xr:uid="{00000000-0002-0000-0200-00000A000000}">
          <x14:formula1>
            <xm:f>'NO MODIFICAR'!$F$4:$F$8</xm:f>
          </x14:formula1>
          <xm:sqref>AI2:AI8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BG999"/>
  <sheetViews>
    <sheetView zoomScale="50" zoomScaleNormal="50" workbookViewId="0">
      <selection activeCell="L22" sqref="L22"/>
    </sheetView>
  </sheetViews>
  <sheetFormatPr baseColWidth="10" defaultColWidth="14.42578125" defaultRowHeight="15" customHeight="1" x14ac:dyDescent="0.25"/>
  <cols>
    <col min="1" max="1" width="11.5703125" customWidth="1"/>
    <col min="2" max="2" width="17.7109375" customWidth="1"/>
    <col min="3" max="3" width="18.140625" customWidth="1"/>
    <col min="4" max="4" width="8.85546875" customWidth="1"/>
    <col min="5" max="5" width="23.140625" customWidth="1"/>
    <col min="6" max="6" width="26.28515625" customWidth="1"/>
    <col min="7" max="7" width="23.42578125" customWidth="1"/>
    <col min="8" max="8" width="24.28515625" customWidth="1"/>
    <col min="9" max="9" width="9.7109375" customWidth="1"/>
    <col min="10" max="10" width="7" customWidth="1"/>
    <col min="11" max="13" width="13" customWidth="1"/>
    <col min="14" max="14" width="14.140625" customWidth="1"/>
    <col min="15" max="15" width="18.5703125" customWidth="1"/>
    <col min="16" max="16" width="17.140625" customWidth="1"/>
    <col min="17" max="17" width="41" customWidth="1"/>
    <col min="18" max="18" width="49.5703125" customWidth="1"/>
    <col min="19" max="19" width="16" customWidth="1"/>
    <col min="20" max="20" width="20" customWidth="1"/>
    <col min="21" max="21" width="13.140625" customWidth="1"/>
    <col min="22" max="22" width="20.28515625" customWidth="1"/>
    <col min="23" max="23" width="22.85546875" customWidth="1"/>
    <col min="24" max="24" width="7.5703125" customWidth="1"/>
    <col min="25" max="25" width="7.140625" customWidth="1"/>
    <col min="26" max="26" width="7.42578125" customWidth="1"/>
    <col min="27" max="27" width="12.140625" customWidth="1"/>
    <col min="28" max="29" width="10.28515625" customWidth="1"/>
    <col min="30" max="30" width="11.7109375" customWidth="1"/>
    <col min="31" max="31" width="6.5703125" customWidth="1"/>
    <col min="32" max="32" width="11.85546875" customWidth="1"/>
    <col min="33" max="33" width="10.5703125" customWidth="1"/>
    <col min="34" max="34" width="13.28515625" customWidth="1"/>
    <col min="35" max="35" width="11.28515625" customWidth="1"/>
    <col min="36" max="36" width="10.7109375" customWidth="1"/>
    <col min="37" max="38" width="23.140625" customWidth="1"/>
    <col min="39" max="41" width="45.140625" customWidth="1"/>
  </cols>
  <sheetData>
    <row r="2" spans="1:59" ht="77.25" customHeight="1" x14ac:dyDescent="0.25">
      <c r="A2" s="2" t="s">
        <v>0</v>
      </c>
      <c r="B2" s="3" t="s">
        <v>1</v>
      </c>
      <c r="C2" s="4" t="s">
        <v>2</v>
      </c>
      <c r="D2" s="4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4" t="s">
        <v>341</v>
      </c>
      <c r="L2" s="4" t="s">
        <v>11</v>
      </c>
      <c r="M2" s="4" t="s">
        <v>12</v>
      </c>
      <c r="N2" s="4" t="s">
        <v>13</v>
      </c>
      <c r="O2" s="5" t="s">
        <v>14</v>
      </c>
      <c r="P2" s="4" t="s">
        <v>15</v>
      </c>
      <c r="Q2" s="4" t="s">
        <v>16</v>
      </c>
      <c r="R2" s="5" t="s">
        <v>17</v>
      </c>
      <c r="S2" s="4" t="s">
        <v>18</v>
      </c>
      <c r="T2" s="5" t="s">
        <v>19</v>
      </c>
      <c r="U2" s="6" t="s">
        <v>20</v>
      </c>
      <c r="V2" s="5" t="s">
        <v>21</v>
      </c>
      <c r="W2" s="5" t="s">
        <v>22</v>
      </c>
      <c r="X2" s="7" t="s">
        <v>23</v>
      </c>
      <c r="Y2" s="7" t="s">
        <v>24</v>
      </c>
      <c r="Z2" s="7" t="s">
        <v>25</v>
      </c>
      <c r="AA2" s="8" t="s">
        <v>26</v>
      </c>
      <c r="AB2" s="7" t="s">
        <v>27</v>
      </c>
      <c r="AC2" s="7" t="s">
        <v>28</v>
      </c>
      <c r="AD2" s="7" t="s">
        <v>29</v>
      </c>
      <c r="AE2" s="8" t="s">
        <v>30</v>
      </c>
      <c r="AF2" s="7" t="s">
        <v>31</v>
      </c>
      <c r="AG2" s="8" t="s">
        <v>32</v>
      </c>
      <c r="AH2" s="8" t="s">
        <v>33</v>
      </c>
      <c r="AI2" s="8" t="s">
        <v>34</v>
      </c>
      <c r="AJ2" s="8" t="s">
        <v>35</v>
      </c>
      <c r="AK2" s="5" t="s">
        <v>4</v>
      </c>
      <c r="AL2" s="5" t="s">
        <v>36</v>
      </c>
      <c r="AM2" s="5" t="s">
        <v>37</v>
      </c>
      <c r="AN2" s="9"/>
      <c r="AO2" s="9"/>
    </row>
    <row r="3" spans="1:59" ht="36" customHeight="1" x14ac:dyDescent="0.25">
      <c r="A3" s="76">
        <v>1</v>
      </c>
      <c r="B3" s="49" t="s">
        <v>172</v>
      </c>
      <c r="C3" s="12">
        <v>45097</v>
      </c>
      <c r="D3" s="13">
        <v>13</v>
      </c>
      <c r="E3" s="50">
        <v>45111</v>
      </c>
      <c r="F3" s="19" t="s">
        <v>94</v>
      </c>
      <c r="G3" s="15" t="s">
        <v>95</v>
      </c>
      <c r="H3" s="15" t="s">
        <v>96</v>
      </c>
      <c r="I3" s="13" t="s">
        <v>59</v>
      </c>
      <c r="J3" s="13">
        <v>41</v>
      </c>
      <c r="K3" s="13" t="s">
        <v>97</v>
      </c>
      <c r="L3" s="13"/>
      <c r="M3" s="13" t="s">
        <v>44</v>
      </c>
      <c r="N3" s="12">
        <v>30114</v>
      </c>
      <c r="O3" s="13">
        <v>20210139546</v>
      </c>
      <c r="P3" s="13" t="s">
        <v>61</v>
      </c>
      <c r="Q3" s="16" t="s">
        <v>174</v>
      </c>
      <c r="R3" s="16" t="s">
        <v>99</v>
      </c>
      <c r="S3" s="13" t="s">
        <v>64</v>
      </c>
      <c r="T3" s="13" t="s">
        <v>100</v>
      </c>
      <c r="U3" s="13" t="s">
        <v>66</v>
      </c>
      <c r="V3" s="13">
        <v>920519776</v>
      </c>
      <c r="W3" s="13" t="s">
        <v>50</v>
      </c>
      <c r="X3" s="13" t="s">
        <v>51</v>
      </c>
      <c r="Y3" s="13" t="s">
        <v>51</v>
      </c>
      <c r="Z3" s="13" t="s">
        <v>51</v>
      </c>
      <c r="AA3" s="13" t="s">
        <v>53</v>
      </c>
      <c r="AB3" s="13" t="s">
        <v>51</v>
      </c>
      <c r="AC3" s="13" t="s">
        <v>51</v>
      </c>
      <c r="AD3" s="16" t="s">
        <v>51</v>
      </c>
      <c r="AE3" s="13" t="s">
        <v>54</v>
      </c>
      <c r="AF3" s="13" t="s">
        <v>54</v>
      </c>
      <c r="AG3" s="13" t="s">
        <v>54</v>
      </c>
      <c r="AH3" s="13" t="s">
        <v>51</v>
      </c>
      <c r="AI3" s="13" t="s">
        <v>51</v>
      </c>
      <c r="AJ3" s="13" t="s">
        <v>51</v>
      </c>
      <c r="AK3" s="50">
        <v>45111</v>
      </c>
      <c r="AL3" s="13" t="s">
        <v>175</v>
      </c>
      <c r="AM3" s="13" t="s">
        <v>176</v>
      </c>
      <c r="AN3" s="51"/>
      <c r="AO3" s="51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</row>
    <row r="4" spans="1:59" ht="36" customHeight="1" x14ac:dyDescent="0.25">
      <c r="A4" s="76">
        <v>2</v>
      </c>
      <c r="B4" s="49" t="s">
        <v>172</v>
      </c>
      <c r="C4" s="12">
        <v>45102</v>
      </c>
      <c r="D4" s="13">
        <v>8</v>
      </c>
      <c r="E4" s="50">
        <v>45111</v>
      </c>
      <c r="F4" s="14" t="s">
        <v>215</v>
      </c>
      <c r="G4" s="15" t="s">
        <v>155</v>
      </c>
      <c r="H4" s="15" t="s">
        <v>216</v>
      </c>
      <c r="I4" s="13" t="s">
        <v>59</v>
      </c>
      <c r="J4" s="13">
        <v>80</v>
      </c>
      <c r="K4" s="13" t="s">
        <v>217</v>
      </c>
      <c r="L4" s="13"/>
      <c r="M4" s="13" t="s">
        <v>44</v>
      </c>
      <c r="N4" s="12">
        <v>15536</v>
      </c>
      <c r="O4" s="13">
        <v>2003020864</v>
      </c>
      <c r="P4" s="13" t="s">
        <v>73</v>
      </c>
      <c r="Q4" s="16" t="s">
        <v>90</v>
      </c>
      <c r="R4" s="16" t="s">
        <v>218</v>
      </c>
      <c r="S4" s="13">
        <v>657</v>
      </c>
      <c r="T4" s="13" t="s">
        <v>48</v>
      </c>
      <c r="U4" s="13" t="s">
        <v>49</v>
      </c>
      <c r="V4" s="13">
        <v>967466506</v>
      </c>
      <c r="W4" s="13" t="s">
        <v>50</v>
      </c>
      <c r="X4" s="13" t="s">
        <v>52</v>
      </c>
      <c r="Y4" s="13" t="s">
        <v>51</v>
      </c>
      <c r="Z4" s="13" t="s">
        <v>51</v>
      </c>
      <c r="AA4" s="13" t="s">
        <v>51</v>
      </c>
      <c r="AB4" s="13" t="s">
        <v>76</v>
      </c>
      <c r="AC4" s="13" t="s">
        <v>51</v>
      </c>
      <c r="AD4" s="16" t="s">
        <v>51</v>
      </c>
      <c r="AE4" s="13" t="s">
        <v>54</v>
      </c>
      <c r="AF4" s="13" t="s">
        <v>54</v>
      </c>
      <c r="AG4" s="13" t="s">
        <v>54</v>
      </c>
      <c r="AH4" s="13" t="s">
        <v>108</v>
      </c>
      <c r="AI4" s="13" t="s">
        <v>51</v>
      </c>
      <c r="AJ4" s="13" t="s">
        <v>51</v>
      </c>
      <c r="AK4" s="50">
        <v>45111</v>
      </c>
      <c r="AL4" s="13" t="s">
        <v>185</v>
      </c>
      <c r="AM4" s="13" t="s">
        <v>219</v>
      </c>
      <c r="AN4" s="51"/>
      <c r="AO4" s="51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</row>
    <row r="5" spans="1:59" ht="33" customHeight="1" x14ac:dyDescent="0.25">
      <c r="A5" s="76">
        <v>3</v>
      </c>
      <c r="B5" s="49" t="s">
        <v>172</v>
      </c>
      <c r="C5" s="12">
        <v>45102</v>
      </c>
      <c r="D5" s="13">
        <v>10</v>
      </c>
      <c r="E5" s="50">
        <v>45112</v>
      </c>
      <c r="F5" s="14" t="s">
        <v>227</v>
      </c>
      <c r="G5" s="15" t="s">
        <v>228</v>
      </c>
      <c r="H5" s="15" t="s">
        <v>228</v>
      </c>
      <c r="I5" s="13" t="s">
        <v>42</v>
      </c>
      <c r="J5" s="13">
        <v>86</v>
      </c>
      <c r="K5" s="13" t="s">
        <v>229</v>
      </c>
      <c r="L5" s="13"/>
      <c r="M5" s="13" t="s">
        <v>44</v>
      </c>
      <c r="N5" s="12">
        <v>13341</v>
      </c>
      <c r="O5" s="13">
        <v>200633847</v>
      </c>
      <c r="P5" s="13" t="s">
        <v>89</v>
      </c>
      <c r="Q5" s="16" t="s">
        <v>230</v>
      </c>
      <c r="R5" s="16" t="s">
        <v>163</v>
      </c>
      <c r="S5" s="13">
        <v>1152</v>
      </c>
      <c r="T5" s="13" t="s">
        <v>48</v>
      </c>
      <c r="U5" s="13" t="s">
        <v>49</v>
      </c>
      <c r="V5" s="13">
        <v>976919544</v>
      </c>
      <c r="W5" s="13" t="s">
        <v>50</v>
      </c>
      <c r="X5" s="13" t="s">
        <v>51</v>
      </c>
      <c r="Y5" s="13" t="s">
        <v>51</v>
      </c>
      <c r="Z5" s="13" t="s">
        <v>51</v>
      </c>
      <c r="AA5" s="13" t="s">
        <v>51</v>
      </c>
      <c r="AB5" s="13" t="s">
        <v>76</v>
      </c>
      <c r="AC5" s="13" t="s">
        <v>51</v>
      </c>
      <c r="AD5" s="16" t="s">
        <v>51</v>
      </c>
      <c r="AE5" s="13" t="s">
        <v>54</v>
      </c>
      <c r="AF5" s="13" t="s">
        <v>54</v>
      </c>
      <c r="AG5" s="13" t="s">
        <v>54</v>
      </c>
      <c r="AH5" s="13" t="s">
        <v>51</v>
      </c>
      <c r="AI5" s="13" t="s">
        <v>54</v>
      </c>
      <c r="AJ5" s="13" t="s">
        <v>51</v>
      </c>
      <c r="AK5" s="50">
        <v>45112</v>
      </c>
      <c r="AL5" s="13" t="s">
        <v>185</v>
      </c>
      <c r="AM5" s="13" t="s">
        <v>231</v>
      </c>
      <c r="AN5" s="51"/>
      <c r="AO5" s="51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</row>
    <row r="6" spans="1:59" ht="36.75" customHeight="1" x14ac:dyDescent="0.25">
      <c r="A6" s="76">
        <v>4</v>
      </c>
      <c r="B6" s="49" t="s">
        <v>172</v>
      </c>
      <c r="C6" s="12">
        <v>45103</v>
      </c>
      <c r="D6" s="13">
        <v>9</v>
      </c>
      <c r="E6" s="50">
        <v>45113</v>
      </c>
      <c r="F6" s="14" t="s">
        <v>232</v>
      </c>
      <c r="G6" s="15" t="s">
        <v>233</v>
      </c>
      <c r="H6" s="15" t="s">
        <v>130</v>
      </c>
      <c r="I6" s="13" t="s">
        <v>42</v>
      </c>
      <c r="J6" s="13">
        <v>94</v>
      </c>
      <c r="K6" s="13" t="s">
        <v>234</v>
      </c>
      <c r="L6" s="13"/>
      <c r="M6" s="13" t="s">
        <v>44</v>
      </c>
      <c r="N6" s="12">
        <v>10573</v>
      </c>
      <c r="O6" s="13">
        <v>2010061647</v>
      </c>
      <c r="P6" s="13" t="s">
        <v>73</v>
      </c>
      <c r="Q6" s="16" t="s">
        <v>235</v>
      </c>
      <c r="R6" s="16" t="s">
        <v>236</v>
      </c>
      <c r="S6" s="13">
        <v>2</v>
      </c>
      <c r="T6" s="13" t="s">
        <v>48</v>
      </c>
      <c r="U6" s="13" t="s">
        <v>49</v>
      </c>
      <c r="V6" s="13">
        <v>992940203</v>
      </c>
      <c r="W6" s="13" t="s">
        <v>50</v>
      </c>
      <c r="X6" s="13" t="s">
        <v>52</v>
      </c>
      <c r="Y6" s="13" t="s">
        <v>51</v>
      </c>
      <c r="Z6" s="13" t="s">
        <v>51</v>
      </c>
      <c r="AA6" s="13" t="s">
        <v>51</v>
      </c>
      <c r="AB6" s="13" t="s">
        <v>76</v>
      </c>
      <c r="AC6" s="13" t="s">
        <v>51</v>
      </c>
      <c r="AD6" s="16" t="s">
        <v>51</v>
      </c>
      <c r="AE6" s="13" t="s">
        <v>54</v>
      </c>
      <c r="AF6" s="13" t="s">
        <v>54</v>
      </c>
      <c r="AG6" s="13" t="s">
        <v>54</v>
      </c>
      <c r="AH6" s="13" t="s">
        <v>108</v>
      </c>
      <c r="AI6" s="13" t="s">
        <v>51</v>
      </c>
      <c r="AJ6" s="13" t="s">
        <v>51</v>
      </c>
      <c r="AK6" s="13" t="s">
        <v>342</v>
      </c>
      <c r="AL6" s="13" t="s">
        <v>185</v>
      </c>
      <c r="AM6" s="13" t="s">
        <v>237</v>
      </c>
      <c r="AN6" s="51"/>
      <c r="AO6" s="51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</row>
    <row r="7" spans="1:59" ht="40.5" customHeight="1" x14ac:dyDescent="0.25">
      <c r="A7" s="76">
        <v>5</v>
      </c>
      <c r="B7" s="49" t="s">
        <v>172</v>
      </c>
      <c r="C7" s="12">
        <v>45104</v>
      </c>
      <c r="D7" s="13">
        <v>9</v>
      </c>
      <c r="E7" s="12">
        <v>45113</v>
      </c>
      <c r="F7" s="14" t="s">
        <v>238</v>
      </c>
      <c r="G7" s="15" t="s">
        <v>239</v>
      </c>
      <c r="H7" s="15" t="s">
        <v>239</v>
      </c>
      <c r="I7" s="13" t="s">
        <v>59</v>
      </c>
      <c r="J7" s="13">
        <v>52</v>
      </c>
      <c r="K7" s="13" t="s">
        <v>240</v>
      </c>
      <c r="L7" s="13"/>
      <c r="M7" s="13" t="s">
        <v>44</v>
      </c>
      <c r="N7" s="12">
        <v>26005</v>
      </c>
      <c r="O7" s="13">
        <v>2004024353</v>
      </c>
      <c r="P7" s="13" t="s">
        <v>89</v>
      </c>
      <c r="Q7" s="59" t="s">
        <v>90</v>
      </c>
      <c r="R7" s="59" t="s">
        <v>241</v>
      </c>
      <c r="S7" s="13" t="s">
        <v>64</v>
      </c>
      <c r="T7" s="13" t="s">
        <v>48</v>
      </c>
      <c r="U7" s="13" t="s">
        <v>49</v>
      </c>
      <c r="V7" s="60">
        <v>954103379</v>
      </c>
      <c r="W7" s="13" t="s">
        <v>50</v>
      </c>
      <c r="X7" s="13" t="s">
        <v>51</v>
      </c>
      <c r="Y7" s="13" t="s">
        <v>51</v>
      </c>
      <c r="Z7" s="13" t="s">
        <v>51</v>
      </c>
      <c r="AA7" s="13" t="s">
        <v>51</v>
      </c>
      <c r="AB7" s="13" t="s">
        <v>51</v>
      </c>
      <c r="AC7" s="13" t="s">
        <v>51</v>
      </c>
      <c r="AD7" s="16" t="s">
        <v>51</v>
      </c>
      <c r="AE7" s="13" t="s">
        <v>54</v>
      </c>
      <c r="AF7" s="13" t="s">
        <v>54</v>
      </c>
      <c r="AG7" s="13" t="s">
        <v>54</v>
      </c>
      <c r="AH7" s="13" t="s">
        <v>93</v>
      </c>
      <c r="AI7" s="13" t="s">
        <v>51</v>
      </c>
      <c r="AJ7" s="13" t="s">
        <v>51</v>
      </c>
      <c r="AK7" s="12">
        <v>45113</v>
      </c>
      <c r="AL7" s="13" t="s">
        <v>185</v>
      </c>
      <c r="AM7" s="13" t="s">
        <v>186</v>
      </c>
      <c r="AN7" s="51"/>
      <c r="AO7" s="51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</row>
    <row r="8" spans="1:59" ht="40.5" customHeight="1" x14ac:dyDescent="0.25">
      <c r="A8" s="76">
        <v>6</v>
      </c>
      <c r="B8" s="49" t="s">
        <v>172</v>
      </c>
      <c r="C8" s="12">
        <v>45106</v>
      </c>
      <c r="D8" s="13">
        <v>7</v>
      </c>
      <c r="E8" s="50">
        <v>45113</v>
      </c>
      <c r="F8" s="14" t="s">
        <v>251</v>
      </c>
      <c r="G8" s="15" t="s">
        <v>252</v>
      </c>
      <c r="H8" s="15" t="s">
        <v>196</v>
      </c>
      <c r="I8" s="13" t="s">
        <v>42</v>
      </c>
      <c r="J8" s="13">
        <v>71</v>
      </c>
      <c r="K8" s="13" t="s">
        <v>253</v>
      </c>
      <c r="L8" s="13"/>
      <c r="M8" s="13" t="s">
        <v>44</v>
      </c>
      <c r="N8" s="12">
        <v>18995</v>
      </c>
      <c r="O8" s="13">
        <v>99003300</v>
      </c>
      <c r="P8" s="13" t="s">
        <v>73</v>
      </c>
      <c r="Q8" s="16" t="s">
        <v>90</v>
      </c>
      <c r="R8" s="16" t="s">
        <v>254</v>
      </c>
      <c r="S8" s="13">
        <v>1060</v>
      </c>
      <c r="T8" s="13" t="s">
        <v>48</v>
      </c>
      <c r="U8" s="13" t="s">
        <v>49</v>
      </c>
      <c r="V8" s="13">
        <v>920146528</v>
      </c>
      <c r="W8" s="13" t="s">
        <v>50</v>
      </c>
      <c r="X8" s="13" t="s">
        <v>52</v>
      </c>
      <c r="Y8" s="13" t="s">
        <v>51</v>
      </c>
      <c r="Z8" s="13" t="s">
        <v>51</v>
      </c>
      <c r="AA8" s="13" t="s">
        <v>51</v>
      </c>
      <c r="AB8" s="13" t="s">
        <v>51</v>
      </c>
      <c r="AC8" s="13" t="s">
        <v>51</v>
      </c>
      <c r="AD8" s="16" t="s">
        <v>107</v>
      </c>
      <c r="AE8" s="13" t="s">
        <v>54</v>
      </c>
      <c r="AF8" s="13" t="s">
        <v>54</v>
      </c>
      <c r="AG8" s="13" t="s">
        <v>54</v>
      </c>
      <c r="AH8" s="13" t="s">
        <v>108</v>
      </c>
      <c r="AI8" s="13" t="s">
        <v>51</v>
      </c>
      <c r="AJ8" s="13" t="s">
        <v>51</v>
      </c>
      <c r="AK8" s="50">
        <v>45113</v>
      </c>
      <c r="AL8" s="13" t="s">
        <v>185</v>
      </c>
      <c r="AM8" s="13" t="s">
        <v>255</v>
      </c>
      <c r="AN8" s="51"/>
      <c r="AO8" s="51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</row>
    <row r="9" spans="1:59" ht="39" customHeight="1" x14ac:dyDescent="0.25">
      <c r="A9" s="76">
        <v>7</v>
      </c>
      <c r="B9" s="49" t="s">
        <v>172</v>
      </c>
      <c r="C9" s="24">
        <v>45107</v>
      </c>
      <c r="D9" s="13">
        <v>5</v>
      </c>
      <c r="E9" s="12">
        <v>45113</v>
      </c>
      <c r="F9" s="14" t="s">
        <v>263</v>
      </c>
      <c r="G9" s="15" t="s">
        <v>264</v>
      </c>
      <c r="H9" s="15" t="s">
        <v>257</v>
      </c>
      <c r="I9" s="13" t="s">
        <v>59</v>
      </c>
      <c r="J9" s="13">
        <v>19</v>
      </c>
      <c r="K9" s="13" t="s">
        <v>265</v>
      </c>
      <c r="L9" s="13"/>
      <c r="M9" s="13" t="s">
        <v>44</v>
      </c>
      <c r="N9" s="12">
        <v>38129</v>
      </c>
      <c r="O9" s="13">
        <v>2004024596</v>
      </c>
      <c r="P9" s="13" t="s">
        <v>89</v>
      </c>
      <c r="Q9" s="16" t="s">
        <v>266</v>
      </c>
      <c r="R9" s="16" t="s">
        <v>267</v>
      </c>
      <c r="S9" s="13">
        <v>820</v>
      </c>
      <c r="T9" s="13" t="s">
        <v>48</v>
      </c>
      <c r="U9" s="13" t="s">
        <v>49</v>
      </c>
      <c r="V9" s="13">
        <v>962144340</v>
      </c>
      <c r="W9" s="13" t="s">
        <v>67</v>
      </c>
      <c r="X9" s="13" t="s">
        <v>51</v>
      </c>
      <c r="Y9" s="13" t="s">
        <v>92</v>
      </c>
      <c r="Z9" s="13" t="s">
        <v>51</v>
      </c>
      <c r="AA9" s="13" t="s">
        <v>51</v>
      </c>
      <c r="AB9" s="13" t="s">
        <v>51</v>
      </c>
      <c r="AC9" s="13" t="s">
        <v>76</v>
      </c>
      <c r="AD9" s="16" t="s">
        <v>51</v>
      </c>
      <c r="AE9" s="13" t="s">
        <v>54</v>
      </c>
      <c r="AF9" s="13" t="s">
        <v>54</v>
      </c>
      <c r="AG9" s="13" t="s">
        <v>54</v>
      </c>
      <c r="AH9" s="13" t="s">
        <v>108</v>
      </c>
      <c r="AI9" s="13" t="s">
        <v>76</v>
      </c>
      <c r="AJ9" s="13" t="s">
        <v>51</v>
      </c>
      <c r="AK9" s="12">
        <v>45113</v>
      </c>
      <c r="AL9" s="13" t="s">
        <v>185</v>
      </c>
      <c r="AM9" s="13" t="s">
        <v>255</v>
      </c>
      <c r="AN9" s="51"/>
      <c r="AO9" s="51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</row>
    <row r="10" spans="1:59" ht="30.75" customHeight="1" x14ac:dyDescent="0.25">
      <c r="A10" s="76">
        <v>8</v>
      </c>
      <c r="B10" s="49" t="s">
        <v>172</v>
      </c>
      <c r="C10" s="12">
        <v>45109</v>
      </c>
      <c r="D10" s="13">
        <v>4</v>
      </c>
      <c r="E10" s="50">
        <v>45113</v>
      </c>
      <c r="F10" s="14" t="s">
        <v>290</v>
      </c>
      <c r="G10" s="15" t="s">
        <v>291</v>
      </c>
      <c r="H10" s="15" t="s">
        <v>116</v>
      </c>
      <c r="I10" s="13" t="s">
        <v>59</v>
      </c>
      <c r="J10" s="13">
        <v>68</v>
      </c>
      <c r="K10" s="13" t="s">
        <v>292</v>
      </c>
      <c r="L10" s="13"/>
      <c r="M10" s="13" t="s">
        <v>44</v>
      </c>
      <c r="N10" s="12">
        <v>20048</v>
      </c>
      <c r="O10" s="13">
        <v>200636307</v>
      </c>
      <c r="P10" s="13" t="s">
        <v>73</v>
      </c>
      <c r="Q10" s="16" t="s">
        <v>294</v>
      </c>
      <c r="R10" s="16" t="s">
        <v>295</v>
      </c>
      <c r="S10" s="13">
        <v>849</v>
      </c>
      <c r="T10" s="13" t="s">
        <v>48</v>
      </c>
      <c r="U10" s="13" t="s">
        <v>49</v>
      </c>
      <c r="V10" s="13">
        <v>993261571</v>
      </c>
      <c r="W10" s="13" t="s">
        <v>67</v>
      </c>
      <c r="X10" s="13" t="s">
        <v>52</v>
      </c>
      <c r="Y10" s="13" t="s">
        <v>51</v>
      </c>
      <c r="Z10" s="13" t="s">
        <v>51</v>
      </c>
      <c r="AA10" s="13" t="s">
        <v>51</v>
      </c>
      <c r="AB10" s="13" t="s">
        <v>54</v>
      </c>
      <c r="AC10" s="13" t="s">
        <v>76</v>
      </c>
      <c r="AD10" s="16" t="s">
        <v>51</v>
      </c>
      <c r="AE10" s="13" t="s">
        <v>54</v>
      </c>
      <c r="AF10" s="13" t="s">
        <v>54</v>
      </c>
      <c r="AG10" s="13" t="s">
        <v>54</v>
      </c>
      <c r="AH10" s="13" t="s">
        <v>51</v>
      </c>
      <c r="AI10" s="13" t="s">
        <v>76</v>
      </c>
      <c r="AJ10" s="13" t="s">
        <v>51</v>
      </c>
      <c r="AK10" s="50">
        <v>45113</v>
      </c>
      <c r="AL10" s="13" t="s">
        <v>185</v>
      </c>
      <c r="AM10" s="13" t="s">
        <v>186</v>
      </c>
      <c r="AN10" s="51"/>
      <c r="AO10" s="51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</row>
    <row r="11" spans="1:59" ht="36" customHeight="1" x14ac:dyDescent="0.25">
      <c r="A11" s="76">
        <v>9</v>
      </c>
      <c r="B11" s="49" t="s">
        <v>172</v>
      </c>
      <c r="C11" s="12">
        <v>45100</v>
      </c>
      <c r="D11" s="13">
        <v>17</v>
      </c>
      <c r="E11" s="12">
        <v>45117</v>
      </c>
      <c r="F11" s="14" t="s">
        <v>199</v>
      </c>
      <c r="G11" s="15" t="s">
        <v>200</v>
      </c>
      <c r="H11" s="15" t="s">
        <v>201</v>
      </c>
      <c r="I11" s="13" t="s">
        <v>42</v>
      </c>
      <c r="J11" s="13">
        <v>77</v>
      </c>
      <c r="K11" s="13" t="s">
        <v>202</v>
      </c>
      <c r="L11" s="13"/>
      <c r="M11" s="13" t="s">
        <v>44</v>
      </c>
      <c r="N11" s="12">
        <v>16661</v>
      </c>
      <c r="O11" s="13">
        <v>2013076472</v>
      </c>
      <c r="P11" s="13" t="s">
        <v>73</v>
      </c>
      <c r="Q11" s="16" t="s">
        <v>132</v>
      </c>
      <c r="R11" s="16" t="s">
        <v>203</v>
      </c>
      <c r="S11" s="13">
        <v>150</v>
      </c>
      <c r="T11" s="13" t="s">
        <v>48</v>
      </c>
      <c r="U11" s="13" t="s">
        <v>49</v>
      </c>
      <c r="V11" s="13">
        <v>949751651</v>
      </c>
      <c r="W11" s="13" t="s">
        <v>50</v>
      </c>
      <c r="X11" s="13" t="s">
        <v>51</v>
      </c>
      <c r="Y11" s="13" t="s">
        <v>92</v>
      </c>
      <c r="Z11" s="13" t="s">
        <v>51</v>
      </c>
      <c r="AA11" s="13" t="s">
        <v>51</v>
      </c>
      <c r="AB11" s="13" t="s">
        <v>51</v>
      </c>
      <c r="AC11" s="13" t="s">
        <v>51</v>
      </c>
      <c r="AD11" s="16" t="s">
        <v>51</v>
      </c>
      <c r="AE11" s="13" t="s">
        <v>54</v>
      </c>
      <c r="AF11" s="13" t="s">
        <v>54</v>
      </c>
      <c r="AG11" s="13" t="s">
        <v>54</v>
      </c>
      <c r="AH11" s="13" t="s">
        <v>55</v>
      </c>
      <c r="AI11" s="13" t="s">
        <v>51</v>
      </c>
      <c r="AJ11" s="13" t="s">
        <v>51</v>
      </c>
      <c r="AK11" s="12">
        <v>45117</v>
      </c>
      <c r="AL11" s="13" t="s">
        <v>175</v>
      </c>
      <c r="AM11" s="13" t="s">
        <v>204</v>
      </c>
      <c r="AN11" s="51"/>
      <c r="AO11" s="51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</row>
    <row r="12" spans="1:59" ht="31.5" customHeight="1" x14ac:dyDescent="0.25">
      <c r="A12" s="76">
        <v>10</v>
      </c>
      <c r="B12" s="49" t="s">
        <v>172</v>
      </c>
      <c r="C12" s="24">
        <v>45107</v>
      </c>
      <c r="D12" s="13">
        <v>10</v>
      </c>
      <c r="E12" s="12">
        <v>45117</v>
      </c>
      <c r="F12" s="14" t="s">
        <v>256</v>
      </c>
      <c r="G12" s="15" t="s">
        <v>207</v>
      </c>
      <c r="H12" s="15" t="s">
        <v>257</v>
      </c>
      <c r="I12" s="13" t="s">
        <v>42</v>
      </c>
      <c r="J12" s="13">
        <v>75</v>
      </c>
      <c r="K12" s="13" t="s">
        <v>258</v>
      </c>
      <c r="L12" s="13"/>
      <c r="M12" s="13" t="s">
        <v>44</v>
      </c>
      <c r="N12" s="12">
        <v>17691</v>
      </c>
      <c r="O12" s="13">
        <v>2002014679</v>
      </c>
      <c r="P12" s="13" t="s">
        <v>259</v>
      </c>
      <c r="Q12" s="16" t="s">
        <v>260</v>
      </c>
      <c r="R12" s="16" t="s">
        <v>261</v>
      </c>
      <c r="S12" s="13" t="s">
        <v>262</v>
      </c>
      <c r="T12" s="13" t="s">
        <v>65</v>
      </c>
      <c r="U12" s="13" t="s">
        <v>66</v>
      </c>
      <c r="V12" s="13">
        <v>987857704</v>
      </c>
      <c r="W12" s="13" t="s">
        <v>50</v>
      </c>
      <c r="X12" s="13" t="s">
        <v>51</v>
      </c>
      <c r="Y12" s="13" t="s">
        <v>51</v>
      </c>
      <c r="Z12" s="13" t="s">
        <v>51</v>
      </c>
      <c r="AA12" s="13" t="s">
        <v>51</v>
      </c>
      <c r="AB12" s="13" t="s">
        <v>51</v>
      </c>
      <c r="AC12" s="13" t="s">
        <v>51</v>
      </c>
      <c r="AD12" s="16" t="s">
        <v>51</v>
      </c>
      <c r="AE12" s="13" t="s">
        <v>54</v>
      </c>
      <c r="AF12" s="13" t="s">
        <v>54</v>
      </c>
      <c r="AG12" s="13" t="s">
        <v>54</v>
      </c>
      <c r="AH12" s="13" t="s">
        <v>108</v>
      </c>
      <c r="AI12" s="13" t="s">
        <v>76</v>
      </c>
      <c r="AJ12" s="13" t="s">
        <v>51</v>
      </c>
      <c r="AK12" s="12">
        <v>45117</v>
      </c>
      <c r="AL12" s="13" t="s">
        <v>185</v>
      </c>
      <c r="AM12" s="13" t="s">
        <v>255</v>
      </c>
      <c r="AN12" s="51"/>
      <c r="AO12" s="51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</row>
    <row r="13" spans="1:59" ht="36" customHeight="1" x14ac:dyDescent="0.25">
      <c r="A13" s="76">
        <v>11</v>
      </c>
      <c r="B13" s="49" t="s">
        <v>172</v>
      </c>
      <c r="C13" s="24">
        <v>45107</v>
      </c>
      <c r="D13" s="13">
        <v>10</v>
      </c>
      <c r="E13" s="12">
        <v>45117</v>
      </c>
      <c r="F13" s="14" t="s">
        <v>268</v>
      </c>
      <c r="G13" s="15" t="s">
        <v>239</v>
      </c>
      <c r="H13" s="15" t="s">
        <v>269</v>
      </c>
      <c r="I13" s="13" t="s">
        <v>59</v>
      </c>
      <c r="J13" s="13">
        <v>61</v>
      </c>
      <c r="K13" s="13" t="s">
        <v>270</v>
      </c>
      <c r="L13" s="13"/>
      <c r="M13" s="13" t="s">
        <v>44</v>
      </c>
      <c r="N13" s="12">
        <v>22826</v>
      </c>
      <c r="O13" s="13">
        <v>2012073612</v>
      </c>
      <c r="P13" s="13" t="s">
        <v>89</v>
      </c>
      <c r="Q13" s="16" t="s">
        <v>272</v>
      </c>
      <c r="R13" s="16" t="s">
        <v>273</v>
      </c>
      <c r="S13" s="13" t="s">
        <v>274</v>
      </c>
      <c r="T13" s="13" t="s">
        <v>65</v>
      </c>
      <c r="U13" s="13" t="s">
        <v>66</v>
      </c>
      <c r="V13" s="13">
        <v>978829334</v>
      </c>
      <c r="W13" s="13" t="s">
        <v>67</v>
      </c>
      <c r="X13" s="13" t="s">
        <v>51</v>
      </c>
      <c r="Y13" s="13" t="s">
        <v>92</v>
      </c>
      <c r="Z13" s="13" t="s">
        <v>51</v>
      </c>
      <c r="AA13" s="13" t="s">
        <v>51</v>
      </c>
      <c r="AB13" s="13" t="s">
        <v>51</v>
      </c>
      <c r="AC13" s="13" t="s">
        <v>76</v>
      </c>
      <c r="AD13" s="16" t="s">
        <v>51</v>
      </c>
      <c r="AE13" s="13" t="s">
        <v>54</v>
      </c>
      <c r="AF13" s="13" t="s">
        <v>54</v>
      </c>
      <c r="AG13" s="13" t="s">
        <v>54</v>
      </c>
      <c r="AH13" s="13" t="s">
        <v>108</v>
      </c>
      <c r="AI13" s="13" t="s">
        <v>51</v>
      </c>
      <c r="AJ13" s="13" t="s">
        <v>51</v>
      </c>
      <c r="AK13" s="12">
        <v>45117</v>
      </c>
      <c r="AL13" s="13" t="s">
        <v>275</v>
      </c>
      <c r="AM13" s="13" t="s">
        <v>276</v>
      </c>
      <c r="AN13" s="51"/>
      <c r="AO13" s="51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</row>
    <row r="14" spans="1:59" ht="33.75" customHeight="1" x14ac:dyDescent="0.25">
      <c r="A14" s="76">
        <v>12</v>
      </c>
      <c r="B14" s="49" t="s">
        <v>172</v>
      </c>
      <c r="C14" s="12">
        <v>45110</v>
      </c>
      <c r="D14" s="13">
        <v>7</v>
      </c>
      <c r="E14" s="50">
        <v>45117</v>
      </c>
      <c r="F14" s="14" t="s">
        <v>296</v>
      </c>
      <c r="G14" s="15" t="s">
        <v>79</v>
      </c>
      <c r="H14" s="15" t="s">
        <v>297</v>
      </c>
      <c r="I14" s="13" t="s">
        <v>42</v>
      </c>
      <c r="J14" s="13">
        <v>83</v>
      </c>
      <c r="K14" s="13" t="s">
        <v>298</v>
      </c>
      <c r="L14" s="13"/>
      <c r="M14" s="13" t="s">
        <v>44</v>
      </c>
      <c r="N14" s="12">
        <v>14631</v>
      </c>
      <c r="O14" s="13">
        <v>200633782</v>
      </c>
      <c r="P14" s="13" t="s">
        <v>89</v>
      </c>
      <c r="Q14" s="16" t="s">
        <v>90</v>
      </c>
      <c r="R14" s="16" t="s">
        <v>299</v>
      </c>
      <c r="S14" s="13" t="s">
        <v>64</v>
      </c>
      <c r="T14" s="13" t="s">
        <v>48</v>
      </c>
      <c r="U14" s="13" t="s">
        <v>66</v>
      </c>
      <c r="V14" s="13">
        <v>987071270</v>
      </c>
      <c r="W14" s="13" t="s">
        <v>300</v>
      </c>
      <c r="X14" s="13" t="s">
        <v>52</v>
      </c>
      <c r="Y14" s="13" t="s">
        <v>51</v>
      </c>
      <c r="Z14" s="13" t="s">
        <v>51</v>
      </c>
      <c r="AA14" s="13" t="s">
        <v>51</v>
      </c>
      <c r="AB14" s="13" t="s">
        <v>51</v>
      </c>
      <c r="AC14" s="13" t="s">
        <v>76</v>
      </c>
      <c r="AD14" s="16" t="s">
        <v>107</v>
      </c>
      <c r="AE14" s="13" t="s">
        <v>54</v>
      </c>
      <c r="AF14" s="13" t="s">
        <v>54</v>
      </c>
      <c r="AG14" s="13" t="s">
        <v>54</v>
      </c>
      <c r="AH14" s="13" t="s">
        <v>51</v>
      </c>
      <c r="AI14" s="13" t="s">
        <v>51</v>
      </c>
      <c r="AJ14" s="13" t="s">
        <v>76</v>
      </c>
      <c r="AK14" s="50">
        <v>45117</v>
      </c>
      <c r="AL14" s="13" t="s">
        <v>185</v>
      </c>
      <c r="AM14" s="13" t="s">
        <v>186</v>
      </c>
      <c r="AN14" s="51"/>
      <c r="AO14" s="51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</row>
    <row r="15" spans="1:59" ht="42" customHeight="1" x14ac:dyDescent="0.25">
      <c r="A15" s="76">
        <v>13</v>
      </c>
      <c r="B15" s="49" t="s">
        <v>172</v>
      </c>
      <c r="C15" s="12">
        <v>45112</v>
      </c>
      <c r="D15" s="13">
        <v>5</v>
      </c>
      <c r="E15" s="12">
        <v>45117</v>
      </c>
      <c r="F15" s="14" t="s">
        <v>324</v>
      </c>
      <c r="G15" s="15" t="s">
        <v>325</v>
      </c>
      <c r="H15" s="15" t="s">
        <v>326</v>
      </c>
      <c r="I15" s="13" t="s">
        <v>42</v>
      </c>
      <c r="J15" s="13">
        <v>86</v>
      </c>
      <c r="K15" s="13" t="s">
        <v>327</v>
      </c>
      <c r="L15" s="13"/>
      <c r="M15" s="13" t="s">
        <v>44</v>
      </c>
      <c r="N15" s="12">
        <v>20779</v>
      </c>
      <c r="O15" s="13">
        <v>2003022108</v>
      </c>
      <c r="P15" s="13" t="s">
        <v>89</v>
      </c>
      <c r="Q15" s="16" t="s">
        <v>90</v>
      </c>
      <c r="R15" s="16" t="s">
        <v>328</v>
      </c>
      <c r="S15" s="13">
        <v>742</v>
      </c>
      <c r="T15" s="13" t="s">
        <v>48</v>
      </c>
      <c r="U15" s="13" t="s">
        <v>49</v>
      </c>
      <c r="V15" s="13">
        <v>988950760</v>
      </c>
      <c r="W15" s="13" t="s">
        <v>317</v>
      </c>
      <c r="X15" s="13" t="s">
        <v>52</v>
      </c>
      <c r="Y15" s="13" t="s">
        <v>51</v>
      </c>
      <c r="Z15" s="13" t="s">
        <v>51</v>
      </c>
      <c r="AA15" s="13" t="s">
        <v>51</v>
      </c>
      <c r="AB15" s="13" t="s">
        <v>76</v>
      </c>
      <c r="AC15" s="13" t="s">
        <v>76</v>
      </c>
      <c r="AD15" s="16" t="s">
        <v>51</v>
      </c>
      <c r="AE15" s="13" t="s">
        <v>54</v>
      </c>
      <c r="AF15" s="13" t="s">
        <v>54</v>
      </c>
      <c r="AG15" s="13" t="s">
        <v>76</v>
      </c>
      <c r="AH15" s="13" t="s">
        <v>51</v>
      </c>
      <c r="AI15" s="13" t="s">
        <v>76</v>
      </c>
      <c r="AJ15" s="13" t="s">
        <v>51</v>
      </c>
      <c r="AK15" s="12">
        <v>45117</v>
      </c>
      <c r="AL15" s="13" t="s">
        <v>185</v>
      </c>
      <c r="AM15" s="13" t="s">
        <v>186</v>
      </c>
      <c r="AN15" s="51"/>
      <c r="AO15" s="51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</row>
    <row r="16" spans="1:59" ht="32.25" customHeight="1" x14ac:dyDescent="0.25">
      <c r="A16" s="76">
        <v>14</v>
      </c>
      <c r="B16" s="49" t="s">
        <v>172</v>
      </c>
      <c r="C16" s="52">
        <v>45100</v>
      </c>
      <c r="D16" s="55">
        <v>18</v>
      </c>
      <c r="E16" s="56">
        <v>45118</v>
      </c>
      <c r="F16" s="77" t="s">
        <v>194</v>
      </c>
      <c r="G16" s="57" t="s">
        <v>195</v>
      </c>
      <c r="H16" s="57" t="s">
        <v>196</v>
      </c>
      <c r="I16" s="55" t="s">
        <v>42</v>
      </c>
      <c r="J16" s="55">
        <v>84</v>
      </c>
      <c r="K16" s="55" t="s">
        <v>197</v>
      </c>
      <c r="L16" s="13"/>
      <c r="M16" s="55" t="s">
        <v>44</v>
      </c>
      <c r="N16" s="52">
        <v>14255</v>
      </c>
      <c r="O16" s="55">
        <v>2011069138</v>
      </c>
      <c r="P16" s="55" t="s">
        <v>89</v>
      </c>
      <c r="Q16" s="55" t="s">
        <v>198</v>
      </c>
      <c r="R16" s="55">
        <v>945</v>
      </c>
      <c r="S16" s="55" t="s">
        <v>48</v>
      </c>
      <c r="T16" s="55">
        <v>993476044</v>
      </c>
      <c r="U16" s="13" t="s">
        <v>49</v>
      </c>
      <c r="V16" s="55" t="s">
        <v>50</v>
      </c>
      <c r="W16" s="55" t="s">
        <v>52</v>
      </c>
      <c r="X16" s="55" t="s">
        <v>51</v>
      </c>
      <c r="Y16" s="55" t="s">
        <v>51</v>
      </c>
      <c r="Z16" s="55" t="s">
        <v>51</v>
      </c>
      <c r="AA16" s="55" t="s">
        <v>51</v>
      </c>
      <c r="AB16" s="55" t="s">
        <v>51</v>
      </c>
      <c r="AC16" s="58" t="s">
        <v>107</v>
      </c>
      <c r="AD16" s="55" t="s">
        <v>54</v>
      </c>
      <c r="AE16" s="55" t="s">
        <v>54</v>
      </c>
      <c r="AF16" s="55" t="s">
        <v>54</v>
      </c>
      <c r="AG16" s="55" t="s">
        <v>51</v>
      </c>
      <c r="AH16" s="55" t="s">
        <v>51</v>
      </c>
      <c r="AI16" s="55" t="s">
        <v>51</v>
      </c>
      <c r="AJ16" s="13" t="s">
        <v>51</v>
      </c>
      <c r="AK16" s="55"/>
      <c r="AL16" s="55"/>
    </row>
    <row r="17" spans="1:41" ht="42.75" customHeight="1" x14ac:dyDescent="0.25">
      <c r="A17" s="76">
        <v>15</v>
      </c>
      <c r="B17" s="49" t="s">
        <v>172</v>
      </c>
      <c r="C17" s="25">
        <v>45110</v>
      </c>
      <c r="D17" s="17">
        <v>8</v>
      </c>
      <c r="E17" s="25">
        <v>45118</v>
      </c>
      <c r="F17" s="26" t="s">
        <v>301</v>
      </c>
      <c r="G17" s="27" t="s">
        <v>252</v>
      </c>
      <c r="H17" s="27" t="s">
        <v>302</v>
      </c>
      <c r="I17" s="17" t="s">
        <v>42</v>
      </c>
      <c r="J17" s="17">
        <v>60</v>
      </c>
      <c r="K17" s="17" t="s">
        <v>303</v>
      </c>
      <c r="L17" s="13"/>
      <c r="M17" s="17" t="s">
        <v>44</v>
      </c>
      <c r="N17" s="25">
        <v>22956</v>
      </c>
      <c r="O17" s="17">
        <v>200744135</v>
      </c>
      <c r="P17" s="17" t="s">
        <v>73</v>
      </c>
      <c r="Q17" s="29" t="s">
        <v>304</v>
      </c>
      <c r="R17" s="29" t="s">
        <v>305</v>
      </c>
      <c r="S17" s="17" t="s">
        <v>64</v>
      </c>
      <c r="T17" s="17" t="s">
        <v>48</v>
      </c>
      <c r="U17" s="13" t="s">
        <v>66</v>
      </c>
      <c r="V17" s="17">
        <v>933914232</v>
      </c>
      <c r="W17" s="17" t="s">
        <v>300</v>
      </c>
      <c r="X17" s="17" t="s">
        <v>52</v>
      </c>
      <c r="Y17" s="17" t="s">
        <v>52</v>
      </c>
      <c r="Z17" s="17" t="s">
        <v>51</v>
      </c>
      <c r="AA17" s="17" t="s">
        <v>51</v>
      </c>
      <c r="AB17" s="17" t="s">
        <v>51</v>
      </c>
      <c r="AC17" s="17" t="s">
        <v>51</v>
      </c>
      <c r="AD17" s="29" t="s">
        <v>107</v>
      </c>
      <c r="AE17" s="17" t="s">
        <v>54</v>
      </c>
      <c r="AF17" s="17" t="s">
        <v>54</v>
      </c>
      <c r="AG17" s="17" t="s">
        <v>54</v>
      </c>
      <c r="AH17" s="17" t="s">
        <v>51</v>
      </c>
      <c r="AI17" s="17" t="s">
        <v>51</v>
      </c>
      <c r="AJ17" s="17" t="s">
        <v>51</v>
      </c>
      <c r="AK17" s="17"/>
      <c r="AL17" s="17"/>
      <c r="AM17" s="17"/>
      <c r="AN17" s="18"/>
      <c r="AO17" s="18"/>
    </row>
    <row r="18" spans="1:41" ht="48" customHeight="1" x14ac:dyDescent="0.25">
      <c r="A18" s="76">
        <v>16</v>
      </c>
      <c r="B18" s="49" t="s">
        <v>172</v>
      </c>
      <c r="C18" s="25">
        <v>45110</v>
      </c>
      <c r="D18" s="17">
        <v>8</v>
      </c>
      <c r="E18" s="25">
        <v>45118</v>
      </c>
      <c r="F18" s="26" t="s">
        <v>306</v>
      </c>
      <c r="G18" s="27" t="s">
        <v>307</v>
      </c>
      <c r="H18" s="27" t="s">
        <v>308</v>
      </c>
      <c r="I18" s="17" t="s">
        <v>42</v>
      </c>
      <c r="J18" s="17">
        <v>81</v>
      </c>
      <c r="K18" s="17" t="s">
        <v>309</v>
      </c>
      <c r="L18" s="13"/>
      <c r="M18" s="17" t="s">
        <v>44</v>
      </c>
      <c r="N18" s="25">
        <v>15496</v>
      </c>
      <c r="O18" s="17">
        <v>99000733</v>
      </c>
      <c r="P18" s="17" t="s">
        <v>73</v>
      </c>
      <c r="Q18" s="29" t="s">
        <v>74</v>
      </c>
      <c r="R18" s="29" t="s">
        <v>310</v>
      </c>
      <c r="S18" s="17">
        <v>79</v>
      </c>
      <c r="T18" s="17" t="s">
        <v>48</v>
      </c>
      <c r="U18" s="13" t="s">
        <v>66</v>
      </c>
      <c r="V18" s="17">
        <v>99798726</v>
      </c>
      <c r="W18" s="17" t="s">
        <v>50</v>
      </c>
      <c r="X18" s="17" t="s">
        <v>52</v>
      </c>
      <c r="Y18" s="17" t="s">
        <v>51</v>
      </c>
      <c r="Z18" s="17" t="s">
        <v>51</v>
      </c>
      <c r="AA18" s="17" t="s">
        <v>51</v>
      </c>
      <c r="AB18" s="17" t="s">
        <v>51</v>
      </c>
      <c r="AC18" s="17" t="s">
        <v>51</v>
      </c>
      <c r="AD18" s="29" t="s">
        <v>107</v>
      </c>
      <c r="AE18" s="17" t="s">
        <v>54</v>
      </c>
      <c r="AF18" s="17" t="s">
        <v>54</v>
      </c>
      <c r="AG18" s="17" t="s">
        <v>54</v>
      </c>
      <c r="AH18" s="17" t="s">
        <v>51</v>
      </c>
      <c r="AI18" s="17" t="s">
        <v>51</v>
      </c>
      <c r="AJ18" s="17" t="s">
        <v>51</v>
      </c>
      <c r="AK18" s="17"/>
      <c r="AL18" s="17"/>
      <c r="AM18" s="17"/>
      <c r="AN18" s="18"/>
      <c r="AO18" s="18"/>
    </row>
    <row r="19" spans="1:41" ht="45" customHeight="1" x14ac:dyDescent="0.25">
      <c r="A19" s="76">
        <v>17</v>
      </c>
      <c r="B19" s="49" t="s">
        <v>172</v>
      </c>
      <c r="C19" s="25">
        <v>45110</v>
      </c>
      <c r="D19" s="17">
        <v>8</v>
      </c>
      <c r="E19" s="25">
        <v>45118</v>
      </c>
      <c r="F19" s="26" t="s">
        <v>312</v>
      </c>
      <c r="G19" s="27" t="s">
        <v>313</v>
      </c>
      <c r="H19" s="27" t="s">
        <v>314</v>
      </c>
      <c r="I19" s="17" t="s">
        <v>42</v>
      </c>
      <c r="J19" s="17">
        <v>62</v>
      </c>
      <c r="K19" s="17" t="s">
        <v>315</v>
      </c>
      <c r="L19" s="13"/>
      <c r="M19" s="17" t="s">
        <v>44</v>
      </c>
      <c r="N19" s="25">
        <v>22187</v>
      </c>
      <c r="O19" s="17">
        <v>200636982</v>
      </c>
      <c r="P19" s="17" t="s">
        <v>89</v>
      </c>
      <c r="Q19" s="29" t="s">
        <v>74</v>
      </c>
      <c r="R19" s="29" t="s">
        <v>316</v>
      </c>
      <c r="S19" s="17">
        <v>1175</v>
      </c>
      <c r="T19" s="17" t="s">
        <v>48</v>
      </c>
      <c r="U19" s="13" t="s">
        <v>49</v>
      </c>
      <c r="V19" s="17">
        <v>977200656</v>
      </c>
      <c r="W19" s="17" t="s">
        <v>317</v>
      </c>
      <c r="X19" s="17" t="s">
        <v>52</v>
      </c>
      <c r="Y19" s="17" t="s">
        <v>51</v>
      </c>
      <c r="Z19" s="17" t="s">
        <v>51</v>
      </c>
      <c r="AA19" s="17" t="s">
        <v>51</v>
      </c>
      <c r="AB19" s="17" t="s">
        <v>76</v>
      </c>
      <c r="AC19" s="17" t="s">
        <v>76</v>
      </c>
      <c r="AD19" s="29" t="s">
        <v>107</v>
      </c>
      <c r="AE19" s="17" t="s">
        <v>54</v>
      </c>
      <c r="AF19" s="17" t="s">
        <v>54</v>
      </c>
      <c r="AG19" s="17" t="s">
        <v>54</v>
      </c>
      <c r="AH19" s="17" t="s">
        <v>108</v>
      </c>
      <c r="AI19" s="17" t="s">
        <v>76</v>
      </c>
      <c r="AJ19" s="17" t="s">
        <v>51</v>
      </c>
      <c r="AK19" s="17"/>
      <c r="AL19" s="17"/>
      <c r="AM19" s="17"/>
      <c r="AN19" s="18"/>
      <c r="AO19" s="18"/>
    </row>
    <row r="20" spans="1:41" ht="37.5" customHeight="1" x14ac:dyDescent="0.25">
      <c r="A20" s="76">
        <v>18</v>
      </c>
      <c r="B20" s="49" t="s">
        <v>172</v>
      </c>
      <c r="C20" s="24">
        <v>45108</v>
      </c>
      <c r="D20" s="13">
        <v>12</v>
      </c>
      <c r="E20" s="12">
        <v>45119</v>
      </c>
      <c r="F20" s="14" t="s">
        <v>277</v>
      </c>
      <c r="G20" s="15" t="s">
        <v>278</v>
      </c>
      <c r="H20" s="15" t="s">
        <v>279</v>
      </c>
      <c r="I20" s="13" t="s">
        <v>42</v>
      </c>
      <c r="J20" s="13">
        <v>51</v>
      </c>
      <c r="K20" s="13" t="s">
        <v>280</v>
      </c>
      <c r="L20" s="13"/>
      <c r="M20" s="13" t="s">
        <v>44</v>
      </c>
      <c r="N20" s="12">
        <v>26210</v>
      </c>
      <c r="O20" s="13">
        <v>20170107949</v>
      </c>
      <c r="P20" s="13" t="s">
        <v>61</v>
      </c>
      <c r="Q20" s="16" t="s">
        <v>281</v>
      </c>
      <c r="R20" s="16" t="s">
        <v>282</v>
      </c>
      <c r="S20" s="13">
        <v>658</v>
      </c>
      <c r="T20" s="13" t="s">
        <v>65</v>
      </c>
      <c r="U20" s="13" t="s">
        <v>49</v>
      </c>
      <c r="V20" s="13">
        <v>965905128</v>
      </c>
      <c r="W20" s="13" t="s">
        <v>67</v>
      </c>
      <c r="X20" s="13" t="s">
        <v>51</v>
      </c>
      <c r="Y20" s="13" t="s">
        <v>51</v>
      </c>
      <c r="Z20" s="13" t="s">
        <v>51</v>
      </c>
      <c r="AA20" s="13" t="s">
        <v>114</v>
      </c>
      <c r="AB20" s="13" t="s">
        <v>51</v>
      </c>
      <c r="AC20" s="13" t="s">
        <v>76</v>
      </c>
      <c r="AD20" s="16" t="s">
        <v>178</v>
      </c>
      <c r="AE20" s="13" t="s">
        <v>54</v>
      </c>
      <c r="AF20" s="13" t="s">
        <v>54</v>
      </c>
      <c r="AG20" s="13" t="s">
        <v>54</v>
      </c>
      <c r="AH20" s="13" t="s">
        <v>51</v>
      </c>
      <c r="AI20" s="13" t="s">
        <v>54</v>
      </c>
      <c r="AJ20" s="13" t="s">
        <v>51</v>
      </c>
      <c r="AK20" s="25">
        <v>45119</v>
      </c>
      <c r="AL20" s="17" t="s">
        <v>185</v>
      </c>
      <c r="AM20" s="17" t="s">
        <v>186</v>
      </c>
    </row>
    <row r="21" spans="1:41" ht="37.5" customHeight="1" x14ac:dyDescent="0.25">
      <c r="A21" s="76">
        <v>19</v>
      </c>
      <c r="B21" s="62" t="s">
        <v>172</v>
      </c>
      <c r="C21" s="25">
        <v>45112</v>
      </c>
      <c r="D21" s="17">
        <v>8</v>
      </c>
      <c r="E21" s="25">
        <v>45119</v>
      </c>
      <c r="F21" s="78" t="s">
        <v>318</v>
      </c>
      <c r="G21" s="63" t="s">
        <v>79</v>
      </c>
      <c r="H21" s="63" t="s">
        <v>319</v>
      </c>
      <c r="I21" s="17" t="s">
        <v>59</v>
      </c>
      <c r="J21" s="17">
        <v>32</v>
      </c>
      <c r="K21" s="17" t="s">
        <v>320</v>
      </c>
      <c r="L21" s="13"/>
      <c r="M21" s="17" t="s">
        <v>44</v>
      </c>
      <c r="N21" s="25">
        <v>33133</v>
      </c>
      <c r="O21" s="17">
        <v>2010061806</v>
      </c>
      <c r="P21" s="17" t="s">
        <v>73</v>
      </c>
      <c r="Q21" s="29" t="s">
        <v>321</v>
      </c>
      <c r="R21" s="29" t="s">
        <v>322</v>
      </c>
      <c r="S21" s="17">
        <v>451</v>
      </c>
      <c r="T21" s="17" t="s">
        <v>48</v>
      </c>
      <c r="U21" s="13" t="s">
        <v>49</v>
      </c>
      <c r="V21" s="17">
        <v>966522232</v>
      </c>
      <c r="W21" s="17" t="s">
        <v>317</v>
      </c>
      <c r="X21" s="17" t="s">
        <v>52</v>
      </c>
      <c r="Y21" s="17" t="s">
        <v>51</v>
      </c>
      <c r="Z21" s="17" t="s">
        <v>51</v>
      </c>
      <c r="AA21" s="17" t="s">
        <v>114</v>
      </c>
      <c r="AB21" s="17" t="s">
        <v>54</v>
      </c>
      <c r="AC21" s="17" t="s">
        <v>76</v>
      </c>
      <c r="AD21" s="29" t="s">
        <v>51</v>
      </c>
      <c r="AE21" s="17" t="s">
        <v>54</v>
      </c>
      <c r="AF21" s="17" t="s">
        <v>54</v>
      </c>
      <c r="AG21" s="17" t="s">
        <v>76</v>
      </c>
      <c r="AH21" s="17" t="s">
        <v>51</v>
      </c>
      <c r="AI21" s="17" t="s">
        <v>76</v>
      </c>
      <c r="AJ21" s="17" t="s">
        <v>76</v>
      </c>
      <c r="AK21" s="25">
        <v>45119</v>
      </c>
      <c r="AL21" s="17" t="s">
        <v>175</v>
      </c>
      <c r="AM21" s="17" t="s">
        <v>343</v>
      </c>
    </row>
    <row r="22" spans="1:41" ht="30.75" customHeight="1" x14ac:dyDescent="0.25">
      <c r="A22" s="76">
        <v>20</v>
      </c>
      <c r="B22" s="49" t="s">
        <v>172</v>
      </c>
      <c r="C22" s="12">
        <v>45108</v>
      </c>
      <c r="D22" s="13">
        <v>12</v>
      </c>
      <c r="E22" s="12">
        <v>45120</v>
      </c>
      <c r="F22" s="14" t="s">
        <v>283</v>
      </c>
      <c r="G22" s="15" t="s">
        <v>284</v>
      </c>
      <c r="H22" s="15" t="s">
        <v>285</v>
      </c>
      <c r="I22" s="13" t="s">
        <v>59</v>
      </c>
      <c r="J22" s="13">
        <v>74</v>
      </c>
      <c r="K22" s="13" t="s">
        <v>286</v>
      </c>
      <c r="L22" s="13"/>
      <c r="M22" s="13" t="s">
        <v>44</v>
      </c>
      <c r="N22" s="12">
        <v>17992</v>
      </c>
      <c r="O22" s="13">
        <v>202300153144</v>
      </c>
      <c r="P22" s="13" t="s">
        <v>89</v>
      </c>
      <c r="Q22" s="16" t="s">
        <v>287</v>
      </c>
      <c r="R22" s="16" t="s">
        <v>288</v>
      </c>
      <c r="S22" s="13" t="s">
        <v>64</v>
      </c>
      <c r="T22" s="13" t="s">
        <v>65</v>
      </c>
      <c r="U22" s="13" t="s">
        <v>66</v>
      </c>
      <c r="V22" s="13">
        <v>965494771</v>
      </c>
      <c r="W22" s="13" t="s">
        <v>50</v>
      </c>
      <c r="X22" s="13" t="s">
        <v>51</v>
      </c>
      <c r="Y22" s="13" t="s">
        <v>51</v>
      </c>
      <c r="Z22" s="13" t="s">
        <v>51</v>
      </c>
      <c r="AA22" s="13" t="s">
        <v>51</v>
      </c>
      <c r="AB22" s="13" t="s">
        <v>51</v>
      </c>
      <c r="AC22" s="13" t="s">
        <v>51</v>
      </c>
      <c r="AD22" s="16" t="s">
        <v>51</v>
      </c>
      <c r="AE22" s="13" t="s">
        <v>54</v>
      </c>
      <c r="AF22" s="13" t="s">
        <v>54</v>
      </c>
      <c r="AG22" s="13" t="s">
        <v>54</v>
      </c>
      <c r="AH22" s="13" t="s">
        <v>55</v>
      </c>
      <c r="AI22" s="13" t="s">
        <v>54</v>
      </c>
      <c r="AJ22" s="13" t="s">
        <v>51</v>
      </c>
      <c r="AK22" s="17"/>
      <c r="AL22" s="17" t="s">
        <v>185</v>
      </c>
      <c r="AM22" s="17" t="s">
        <v>344</v>
      </c>
    </row>
    <row r="23" spans="1:41" ht="38.25" customHeight="1" x14ac:dyDescent="0.25">
      <c r="A23" s="76">
        <v>21</v>
      </c>
      <c r="B23" s="49" t="s">
        <v>172</v>
      </c>
      <c r="C23" s="25">
        <v>45120</v>
      </c>
      <c r="D23" s="17">
        <v>3</v>
      </c>
      <c r="E23" s="25">
        <v>45123</v>
      </c>
      <c r="F23" s="27" t="s">
        <v>332</v>
      </c>
      <c r="G23" s="27" t="s">
        <v>333</v>
      </c>
      <c r="H23" s="27" t="s">
        <v>334</v>
      </c>
      <c r="I23" s="17" t="s">
        <v>42</v>
      </c>
      <c r="J23" s="17">
        <v>94</v>
      </c>
      <c r="K23" s="17" t="s">
        <v>335</v>
      </c>
      <c r="L23" s="13" t="s">
        <v>357</v>
      </c>
      <c r="M23" s="13" t="s">
        <v>142</v>
      </c>
      <c r="N23" s="64" t="s">
        <v>336</v>
      </c>
      <c r="O23" s="17">
        <v>200636068</v>
      </c>
      <c r="P23" s="17" t="s">
        <v>45</v>
      </c>
      <c r="Q23" s="29" t="s">
        <v>46</v>
      </c>
      <c r="R23" s="29" t="s">
        <v>337</v>
      </c>
      <c r="S23" s="17">
        <v>1009</v>
      </c>
      <c r="T23" s="17" t="s">
        <v>48</v>
      </c>
      <c r="U23" s="13" t="s">
        <v>49</v>
      </c>
      <c r="V23" s="17">
        <v>966540129</v>
      </c>
      <c r="W23" s="17" t="s">
        <v>50</v>
      </c>
      <c r="X23" s="17" t="s">
        <v>51</v>
      </c>
      <c r="Y23" s="17" t="s">
        <v>51</v>
      </c>
      <c r="Z23" s="17" t="s">
        <v>51</v>
      </c>
      <c r="AA23" s="17" t="s">
        <v>114</v>
      </c>
      <c r="AB23" s="17" t="s">
        <v>54</v>
      </c>
      <c r="AC23" s="17" t="s">
        <v>51</v>
      </c>
      <c r="AD23" s="17" t="s">
        <v>51</v>
      </c>
      <c r="AE23" s="17" t="s">
        <v>51</v>
      </c>
      <c r="AF23" s="17" t="s">
        <v>54</v>
      </c>
      <c r="AG23" s="17" t="s">
        <v>54</v>
      </c>
      <c r="AH23" s="17" t="s">
        <v>55</v>
      </c>
      <c r="AI23" s="17" t="s">
        <v>51</v>
      </c>
      <c r="AJ23" s="17" t="s">
        <v>51</v>
      </c>
      <c r="AK23" s="25">
        <v>45123</v>
      </c>
      <c r="AL23" s="17" t="s">
        <v>175</v>
      </c>
      <c r="AM23" s="29" t="s">
        <v>338</v>
      </c>
      <c r="AN23" s="18"/>
      <c r="AO23" s="18"/>
    </row>
    <row r="24" spans="1:41" ht="39" customHeight="1" x14ac:dyDescent="0.25">
      <c r="A24" s="76">
        <v>22</v>
      </c>
      <c r="B24" s="49" t="s">
        <v>172</v>
      </c>
      <c r="C24" s="12">
        <v>45106</v>
      </c>
      <c r="D24" s="17">
        <v>18</v>
      </c>
      <c r="E24" s="12">
        <v>45124</v>
      </c>
      <c r="F24" s="15" t="s">
        <v>246</v>
      </c>
      <c r="G24" s="15" t="s">
        <v>247</v>
      </c>
      <c r="H24" s="15" t="s">
        <v>248</v>
      </c>
      <c r="I24" s="13" t="s">
        <v>59</v>
      </c>
      <c r="J24" s="13">
        <v>65</v>
      </c>
      <c r="K24" s="20" t="s">
        <v>249</v>
      </c>
      <c r="L24" s="39" t="s">
        <v>72</v>
      </c>
      <c r="M24" s="13" t="s">
        <v>173</v>
      </c>
      <c r="N24" s="12">
        <v>21183</v>
      </c>
      <c r="O24" s="13">
        <v>2011067193</v>
      </c>
      <c r="P24" s="13" t="s">
        <v>73</v>
      </c>
      <c r="Q24" s="16" t="s">
        <v>74</v>
      </c>
      <c r="R24" s="16" t="s">
        <v>250</v>
      </c>
      <c r="S24" s="13" t="s">
        <v>64</v>
      </c>
      <c r="T24" s="13" t="s">
        <v>100</v>
      </c>
      <c r="U24" s="13" t="s">
        <v>66</v>
      </c>
      <c r="V24" s="13">
        <v>979622327</v>
      </c>
      <c r="W24" s="13" t="s">
        <v>67</v>
      </c>
      <c r="X24" s="13" t="s">
        <v>52</v>
      </c>
      <c r="Y24" s="13" t="s">
        <v>51</v>
      </c>
      <c r="Z24" s="13" t="s">
        <v>51</v>
      </c>
      <c r="AA24" s="13" t="s">
        <v>51</v>
      </c>
      <c r="AB24" s="13" t="s">
        <v>51</v>
      </c>
      <c r="AC24" s="13" t="s">
        <v>51</v>
      </c>
      <c r="AD24" s="16" t="s">
        <v>51</v>
      </c>
      <c r="AE24" s="13" t="s">
        <v>54</v>
      </c>
      <c r="AF24" s="13" t="s">
        <v>54</v>
      </c>
      <c r="AG24" s="13" t="s">
        <v>54</v>
      </c>
      <c r="AH24" s="13" t="s">
        <v>51</v>
      </c>
      <c r="AI24" s="13" t="s">
        <v>51</v>
      </c>
      <c r="AJ24" s="13" t="s">
        <v>51</v>
      </c>
      <c r="AK24" s="25">
        <v>45119</v>
      </c>
      <c r="AL24" s="17" t="s">
        <v>185</v>
      </c>
      <c r="AM24" s="13" t="s">
        <v>186</v>
      </c>
      <c r="AN24" s="18"/>
      <c r="AO24" s="18"/>
    </row>
    <row r="25" spans="1:41" ht="42" customHeight="1" x14ac:dyDescent="0.25">
      <c r="A25" s="76">
        <v>23</v>
      </c>
      <c r="B25" s="49" t="s">
        <v>172</v>
      </c>
      <c r="C25" s="25">
        <v>45118</v>
      </c>
      <c r="D25" s="17">
        <v>6</v>
      </c>
      <c r="E25" s="25">
        <v>45124</v>
      </c>
      <c r="F25" s="27" t="s">
        <v>329</v>
      </c>
      <c r="G25" s="27" t="s">
        <v>201</v>
      </c>
      <c r="H25" s="27" t="s">
        <v>201</v>
      </c>
      <c r="I25" s="17" t="s">
        <v>59</v>
      </c>
      <c r="J25" s="17">
        <v>82</v>
      </c>
      <c r="K25" s="38" t="s">
        <v>330</v>
      </c>
      <c r="L25" s="39" t="s">
        <v>72</v>
      </c>
      <c r="M25" s="13" t="s">
        <v>142</v>
      </c>
      <c r="N25" s="25">
        <v>15059</v>
      </c>
      <c r="O25" s="17">
        <v>200637810</v>
      </c>
      <c r="P25" s="17" t="s">
        <v>73</v>
      </c>
      <c r="Q25" s="29" t="s">
        <v>74</v>
      </c>
      <c r="R25" s="29" t="s">
        <v>331</v>
      </c>
      <c r="S25" s="17">
        <v>1107</v>
      </c>
      <c r="T25" s="17" t="s">
        <v>48</v>
      </c>
      <c r="U25" s="13" t="s">
        <v>49</v>
      </c>
      <c r="V25" s="17">
        <v>986760433</v>
      </c>
      <c r="W25" s="17" t="s">
        <v>50</v>
      </c>
      <c r="X25" s="17" t="s">
        <v>52</v>
      </c>
      <c r="Y25" s="17" t="s">
        <v>51</v>
      </c>
      <c r="Z25" s="17" t="s">
        <v>51</v>
      </c>
      <c r="AA25" s="17" t="s">
        <v>51</v>
      </c>
      <c r="AB25" s="17" t="s">
        <v>54</v>
      </c>
      <c r="AC25" s="17" t="s">
        <v>51</v>
      </c>
      <c r="AD25" s="17" t="s">
        <v>51</v>
      </c>
      <c r="AE25" s="17" t="s">
        <v>51</v>
      </c>
      <c r="AF25" s="17" t="s">
        <v>54</v>
      </c>
      <c r="AG25" s="17" t="s">
        <v>54</v>
      </c>
      <c r="AH25" s="17" t="s">
        <v>51</v>
      </c>
      <c r="AI25" s="17" t="s">
        <v>51</v>
      </c>
      <c r="AJ25" s="17" t="s">
        <v>51</v>
      </c>
      <c r="AK25" s="17"/>
      <c r="AL25" s="17"/>
      <c r="AM25" s="17"/>
      <c r="AN25" s="18"/>
      <c r="AO25" s="18"/>
    </row>
    <row r="26" spans="1:41" ht="35.25" customHeight="1" x14ac:dyDescent="0.25">
      <c r="A26" s="76">
        <v>24</v>
      </c>
      <c r="B26" s="90" t="s">
        <v>172</v>
      </c>
      <c r="C26" s="25">
        <v>45117</v>
      </c>
      <c r="D26" s="17">
        <v>11</v>
      </c>
      <c r="E26" s="89">
        <v>45128</v>
      </c>
      <c r="F26" s="27" t="s">
        <v>121</v>
      </c>
      <c r="G26" s="27" t="s">
        <v>122</v>
      </c>
      <c r="H26" s="27" t="s">
        <v>123</v>
      </c>
      <c r="I26" s="17" t="s">
        <v>59</v>
      </c>
      <c r="J26" s="17">
        <v>91</v>
      </c>
      <c r="K26" s="38" t="s">
        <v>124</v>
      </c>
      <c r="L26" s="39" t="s">
        <v>361</v>
      </c>
      <c r="M26" s="13" t="s">
        <v>142</v>
      </c>
      <c r="N26" s="25">
        <v>11825</v>
      </c>
      <c r="O26" s="17" t="s">
        <v>125</v>
      </c>
      <c r="P26" s="17" t="s">
        <v>89</v>
      </c>
      <c r="Q26" s="29" t="s">
        <v>126</v>
      </c>
      <c r="R26" s="36" t="s">
        <v>127</v>
      </c>
      <c r="S26" s="13" t="s">
        <v>64</v>
      </c>
      <c r="T26" s="13" t="s">
        <v>48</v>
      </c>
      <c r="U26" s="13" t="s">
        <v>66</v>
      </c>
      <c r="V26" s="36">
        <v>92644573</v>
      </c>
      <c r="W26" s="17" t="s">
        <v>50</v>
      </c>
      <c r="X26" s="17" t="s">
        <v>52</v>
      </c>
      <c r="Y26" s="17" t="s">
        <v>51</v>
      </c>
      <c r="Z26" s="17" t="s">
        <v>51</v>
      </c>
      <c r="AA26" s="17" t="s">
        <v>51</v>
      </c>
      <c r="AB26" s="17" t="s">
        <v>51</v>
      </c>
      <c r="AC26" s="17" t="s">
        <v>51</v>
      </c>
      <c r="AD26" s="29" t="s">
        <v>107</v>
      </c>
      <c r="AE26" s="17" t="s">
        <v>54</v>
      </c>
      <c r="AF26" s="17" t="s">
        <v>54</v>
      </c>
      <c r="AG26" s="17" t="s">
        <v>54</v>
      </c>
      <c r="AH26" s="17" t="s">
        <v>108</v>
      </c>
      <c r="AI26" s="17" t="s">
        <v>76</v>
      </c>
      <c r="AJ26" s="17" t="s">
        <v>76</v>
      </c>
      <c r="AK26" s="89">
        <v>45128</v>
      </c>
      <c r="AL26" s="17" t="s">
        <v>185</v>
      </c>
      <c r="AM26" s="17" t="s">
        <v>374</v>
      </c>
      <c r="AN26" s="18"/>
      <c r="AO26" s="18"/>
    </row>
    <row r="27" spans="1:41" ht="43.5" customHeight="1" x14ac:dyDescent="0.25">
      <c r="A27" s="76">
        <v>25</v>
      </c>
      <c r="B27" s="90" t="s">
        <v>172</v>
      </c>
      <c r="C27" s="25">
        <v>45118</v>
      </c>
      <c r="D27" s="13">
        <f ca="1">DAYS360(C27,TODAY())</f>
        <v>20</v>
      </c>
      <c r="E27" s="89">
        <v>45127</v>
      </c>
      <c r="F27" s="27" t="s">
        <v>134</v>
      </c>
      <c r="G27" s="27" t="s">
        <v>135</v>
      </c>
      <c r="H27" s="27" t="s">
        <v>135</v>
      </c>
      <c r="I27" s="17" t="s">
        <v>59</v>
      </c>
      <c r="J27" s="17">
        <v>75</v>
      </c>
      <c r="K27" s="17" t="s">
        <v>136</v>
      </c>
      <c r="L27" s="13" t="s">
        <v>81</v>
      </c>
      <c r="M27" s="17" t="s">
        <v>44</v>
      </c>
      <c r="N27" s="25">
        <v>17534</v>
      </c>
      <c r="O27" s="17">
        <v>2004023483</v>
      </c>
      <c r="P27" s="17" t="s">
        <v>73</v>
      </c>
      <c r="Q27" s="29" t="s">
        <v>74</v>
      </c>
      <c r="R27" s="29" t="s">
        <v>137</v>
      </c>
      <c r="S27" s="17">
        <v>9068</v>
      </c>
      <c r="T27" s="17" t="s">
        <v>48</v>
      </c>
      <c r="U27" s="13" t="s">
        <v>66</v>
      </c>
      <c r="V27" s="17">
        <v>992934416</v>
      </c>
      <c r="W27" s="17" t="s">
        <v>50</v>
      </c>
      <c r="X27" s="17" t="s">
        <v>52</v>
      </c>
      <c r="Y27" s="17" t="s">
        <v>51</v>
      </c>
      <c r="Z27" s="17" t="s">
        <v>51</v>
      </c>
      <c r="AA27" s="17" t="s">
        <v>51</v>
      </c>
      <c r="AB27" s="17" t="s">
        <v>51</v>
      </c>
      <c r="AC27" s="17" t="s">
        <v>51</v>
      </c>
      <c r="AD27" s="17" t="s">
        <v>51</v>
      </c>
      <c r="AE27" s="17" t="s">
        <v>51</v>
      </c>
      <c r="AF27" s="17" t="s">
        <v>54</v>
      </c>
      <c r="AG27" s="17" t="s">
        <v>54</v>
      </c>
      <c r="AH27" s="17" t="s">
        <v>108</v>
      </c>
      <c r="AI27" s="17" t="s">
        <v>54</v>
      </c>
      <c r="AJ27" s="17" t="s">
        <v>51</v>
      </c>
      <c r="AK27" s="89">
        <v>45127</v>
      </c>
      <c r="AL27" s="17" t="s">
        <v>185</v>
      </c>
      <c r="AM27" s="17" t="s">
        <v>374</v>
      </c>
      <c r="AN27" s="18"/>
      <c r="AO27" s="18"/>
    </row>
    <row r="28" spans="1:41" ht="35.25" customHeight="1" x14ac:dyDescent="0.25">
      <c r="A28" s="76">
        <v>26</v>
      </c>
      <c r="B28" s="90" t="s">
        <v>172</v>
      </c>
      <c r="C28" s="25">
        <v>45120</v>
      </c>
      <c r="D28" s="13">
        <v>7</v>
      </c>
      <c r="E28" s="89">
        <v>45127</v>
      </c>
      <c r="F28" s="27" t="s">
        <v>154</v>
      </c>
      <c r="G28" s="27" t="s">
        <v>155</v>
      </c>
      <c r="H28" s="27" t="s">
        <v>156</v>
      </c>
      <c r="I28" s="17" t="s">
        <v>59</v>
      </c>
      <c r="J28" s="17">
        <v>79</v>
      </c>
      <c r="K28" s="38" t="s">
        <v>157</v>
      </c>
      <c r="L28" s="39" t="s">
        <v>72</v>
      </c>
      <c r="M28" s="13" t="s">
        <v>142</v>
      </c>
      <c r="N28" s="25">
        <v>16010</v>
      </c>
      <c r="O28" s="17">
        <v>2003021892</v>
      </c>
      <c r="P28" s="17" t="s">
        <v>89</v>
      </c>
      <c r="Q28" s="29" t="s">
        <v>90</v>
      </c>
      <c r="R28" s="29" t="s">
        <v>158</v>
      </c>
      <c r="S28" s="17">
        <v>0</v>
      </c>
      <c r="T28" s="17" t="s">
        <v>48</v>
      </c>
      <c r="U28" s="13" t="s">
        <v>66</v>
      </c>
      <c r="V28" s="17">
        <v>974117274</v>
      </c>
      <c r="W28" s="17" t="s">
        <v>50</v>
      </c>
      <c r="X28" s="17" t="s">
        <v>51</v>
      </c>
      <c r="Y28" s="17" t="s">
        <v>51</v>
      </c>
      <c r="Z28" s="17" t="s">
        <v>51</v>
      </c>
      <c r="AA28" s="17" t="s">
        <v>51</v>
      </c>
      <c r="AB28" s="17" t="s">
        <v>54</v>
      </c>
      <c r="AC28" s="17" t="s">
        <v>51</v>
      </c>
      <c r="AD28" s="17" t="s">
        <v>51</v>
      </c>
      <c r="AE28" s="17" t="s">
        <v>54</v>
      </c>
      <c r="AF28" s="17" t="s">
        <v>54</v>
      </c>
      <c r="AG28" s="17" t="s">
        <v>54</v>
      </c>
      <c r="AH28" s="17" t="s">
        <v>93</v>
      </c>
      <c r="AI28" s="17" t="s">
        <v>51</v>
      </c>
      <c r="AJ28" s="17" t="s">
        <v>51</v>
      </c>
      <c r="AK28" s="89">
        <v>45127</v>
      </c>
      <c r="AL28" s="17" t="s">
        <v>358</v>
      </c>
      <c r="AM28" s="29" t="s">
        <v>388</v>
      </c>
    </row>
    <row r="29" spans="1:41" ht="45.6" customHeight="1" x14ac:dyDescent="0.25">
      <c r="A29" s="76">
        <v>27</v>
      </c>
      <c r="B29" s="49" t="s">
        <v>172</v>
      </c>
      <c r="C29" s="12">
        <v>45100</v>
      </c>
      <c r="D29" s="13">
        <v>27</v>
      </c>
      <c r="E29" s="91">
        <v>45127</v>
      </c>
      <c r="F29" s="15" t="s">
        <v>39</v>
      </c>
      <c r="G29" s="15" t="s">
        <v>40</v>
      </c>
      <c r="H29" s="15" t="s">
        <v>41</v>
      </c>
      <c r="I29" s="13" t="s">
        <v>42</v>
      </c>
      <c r="J29" s="13">
        <v>90</v>
      </c>
      <c r="K29" s="13" t="s">
        <v>43</v>
      </c>
      <c r="L29" s="39" t="s">
        <v>51</v>
      </c>
      <c r="M29" s="13" t="s">
        <v>142</v>
      </c>
      <c r="N29" s="12">
        <v>11918</v>
      </c>
      <c r="O29" s="13">
        <v>2004026560</v>
      </c>
      <c r="P29" s="13" t="s">
        <v>45</v>
      </c>
      <c r="Q29" s="16" t="s">
        <v>46</v>
      </c>
      <c r="R29" s="16" t="s">
        <v>47</v>
      </c>
      <c r="S29" s="13">
        <v>1099</v>
      </c>
      <c r="T29" s="13" t="s">
        <v>48</v>
      </c>
      <c r="U29" s="13" t="s">
        <v>49</v>
      </c>
      <c r="V29" s="13">
        <v>954259684</v>
      </c>
      <c r="W29" s="13" t="s">
        <v>50</v>
      </c>
      <c r="X29" s="13" t="s">
        <v>51</v>
      </c>
      <c r="Y29" s="13" t="s">
        <v>52</v>
      </c>
      <c r="Z29" s="13" t="s">
        <v>51</v>
      </c>
      <c r="AA29" s="13" t="s">
        <v>53</v>
      </c>
      <c r="AB29" s="13" t="s">
        <v>51</v>
      </c>
      <c r="AC29" s="13" t="s">
        <v>51</v>
      </c>
      <c r="AD29" s="16" t="s">
        <v>51</v>
      </c>
      <c r="AE29" s="13" t="s">
        <v>54</v>
      </c>
      <c r="AF29" s="13" t="s">
        <v>54</v>
      </c>
      <c r="AG29" s="13" t="s">
        <v>54</v>
      </c>
      <c r="AH29" s="13" t="s">
        <v>55</v>
      </c>
      <c r="AI29" s="13" t="s">
        <v>51</v>
      </c>
      <c r="AJ29" s="13" t="s">
        <v>51</v>
      </c>
      <c r="AK29" s="25">
        <v>45127</v>
      </c>
      <c r="AL29" s="17" t="s">
        <v>185</v>
      </c>
      <c r="AM29" s="17" t="s">
        <v>186</v>
      </c>
    </row>
    <row r="30" spans="1:41" ht="53.45" customHeight="1" x14ac:dyDescent="0.25">
      <c r="A30" s="76">
        <v>28</v>
      </c>
      <c r="B30" s="90" t="s">
        <v>172</v>
      </c>
      <c r="C30" s="25">
        <v>45116</v>
      </c>
      <c r="D30" s="13">
        <v>12</v>
      </c>
      <c r="E30" s="89">
        <v>45128</v>
      </c>
      <c r="F30" s="27" t="s">
        <v>101</v>
      </c>
      <c r="G30" s="27" t="s">
        <v>102</v>
      </c>
      <c r="H30" s="27" t="s">
        <v>103</v>
      </c>
      <c r="I30" s="17" t="s">
        <v>42</v>
      </c>
      <c r="J30" s="17">
        <v>89</v>
      </c>
      <c r="K30" s="38" t="s">
        <v>104</v>
      </c>
      <c r="L30" s="39" t="s">
        <v>357</v>
      </c>
      <c r="M30" s="13" t="s">
        <v>142</v>
      </c>
      <c r="N30" s="25">
        <v>12439</v>
      </c>
      <c r="O30" s="17">
        <v>200740336</v>
      </c>
      <c r="P30" s="17" t="s">
        <v>73</v>
      </c>
      <c r="Q30" s="16" t="s">
        <v>90</v>
      </c>
      <c r="R30" s="34" t="s">
        <v>105</v>
      </c>
      <c r="S30" s="13" t="s">
        <v>64</v>
      </c>
      <c r="T30" s="35" t="s">
        <v>106</v>
      </c>
      <c r="U30" s="13" t="s">
        <v>66</v>
      </c>
      <c r="V30" s="17">
        <v>978284183</v>
      </c>
      <c r="W30" s="17" t="s">
        <v>50</v>
      </c>
      <c r="X30" s="17" t="s">
        <v>52</v>
      </c>
      <c r="Y30" s="17" t="s">
        <v>51</v>
      </c>
      <c r="Z30" s="17" t="s">
        <v>51</v>
      </c>
      <c r="AA30" s="17" t="s">
        <v>51</v>
      </c>
      <c r="AB30" s="17" t="s">
        <v>51</v>
      </c>
      <c r="AC30" s="17" t="s">
        <v>51</v>
      </c>
      <c r="AD30" s="29" t="s">
        <v>107</v>
      </c>
      <c r="AE30" s="17" t="s">
        <v>54</v>
      </c>
      <c r="AF30" s="17" t="s">
        <v>54</v>
      </c>
      <c r="AG30" s="17" t="s">
        <v>54</v>
      </c>
      <c r="AH30" s="17" t="s">
        <v>108</v>
      </c>
      <c r="AI30" s="17" t="s">
        <v>76</v>
      </c>
      <c r="AJ30" s="17" t="s">
        <v>76</v>
      </c>
      <c r="AK30" s="89">
        <v>45128</v>
      </c>
      <c r="AL30" s="17" t="s">
        <v>185</v>
      </c>
      <c r="AM30" s="17" t="s">
        <v>374</v>
      </c>
      <c r="AN30" s="18"/>
      <c r="AO30" s="18"/>
    </row>
    <row r="31" spans="1:41" ht="41.25" customHeight="1" x14ac:dyDescent="0.25">
      <c r="A31" s="76">
        <v>29</v>
      </c>
      <c r="B31" s="49" t="s">
        <v>172</v>
      </c>
      <c r="C31" s="25">
        <v>45119</v>
      </c>
      <c r="D31" s="13">
        <v>13</v>
      </c>
      <c r="E31" s="89">
        <v>45132</v>
      </c>
      <c r="F31" s="26" t="s">
        <v>138</v>
      </c>
      <c r="G31" s="27" t="s">
        <v>139</v>
      </c>
      <c r="H31" s="27" t="s">
        <v>140</v>
      </c>
      <c r="I31" s="17" t="s">
        <v>42</v>
      </c>
      <c r="J31" s="17">
        <v>82</v>
      </c>
      <c r="K31" s="38" t="s">
        <v>141</v>
      </c>
      <c r="L31" s="39" t="s">
        <v>72</v>
      </c>
      <c r="M31" s="13" t="s">
        <v>142</v>
      </c>
      <c r="N31" s="25">
        <v>14851</v>
      </c>
      <c r="O31" s="17">
        <v>200634459</v>
      </c>
      <c r="P31" s="17" t="s">
        <v>73</v>
      </c>
      <c r="Q31" s="29" t="s">
        <v>74</v>
      </c>
      <c r="R31" s="29" t="s">
        <v>143</v>
      </c>
      <c r="S31" s="17">
        <v>14</v>
      </c>
      <c r="T31" s="17" t="s">
        <v>48</v>
      </c>
      <c r="U31" s="13" t="s">
        <v>49</v>
      </c>
      <c r="V31" s="17">
        <v>976543319</v>
      </c>
      <c r="W31" s="17" t="s">
        <v>50</v>
      </c>
      <c r="X31" s="17" t="s">
        <v>52</v>
      </c>
      <c r="Y31" s="17" t="s">
        <v>51</v>
      </c>
      <c r="Z31" s="17" t="s">
        <v>51</v>
      </c>
      <c r="AA31" s="17" t="s">
        <v>51</v>
      </c>
      <c r="AB31" s="17" t="s">
        <v>54</v>
      </c>
      <c r="AC31" s="17" t="s">
        <v>51</v>
      </c>
      <c r="AD31" s="17" t="s">
        <v>51</v>
      </c>
      <c r="AE31" s="17" t="s">
        <v>54</v>
      </c>
      <c r="AF31" s="17" t="s">
        <v>54</v>
      </c>
      <c r="AG31" s="17" t="s">
        <v>54</v>
      </c>
      <c r="AH31" s="17" t="s">
        <v>108</v>
      </c>
      <c r="AI31" s="17" t="s">
        <v>51</v>
      </c>
      <c r="AJ31" s="17" t="s">
        <v>51</v>
      </c>
      <c r="AK31" s="89">
        <v>45132</v>
      </c>
      <c r="AL31" s="17" t="s">
        <v>185</v>
      </c>
      <c r="AM31" s="17" t="s">
        <v>186</v>
      </c>
    </row>
    <row r="32" spans="1:41" ht="36" customHeight="1" x14ac:dyDescent="0.25">
      <c r="A32" s="76">
        <v>30</v>
      </c>
      <c r="B32" s="49" t="s">
        <v>172</v>
      </c>
      <c r="C32" s="25">
        <v>45113</v>
      </c>
      <c r="D32" s="13">
        <f>DAYS360(C32,E32)</f>
        <v>20</v>
      </c>
      <c r="E32" s="89">
        <v>45133</v>
      </c>
      <c r="F32" s="15" t="s">
        <v>85</v>
      </c>
      <c r="G32" s="15" t="s">
        <v>86</v>
      </c>
      <c r="H32" s="15" t="s">
        <v>87</v>
      </c>
      <c r="I32" s="13" t="s">
        <v>59</v>
      </c>
      <c r="J32" s="13">
        <v>72</v>
      </c>
      <c r="K32" s="20" t="s">
        <v>88</v>
      </c>
      <c r="L32" s="60" t="s">
        <v>81</v>
      </c>
      <c r="M32" s="13" t="s">
        <v>142</v>
      </c>
      <c r="N32" s="12">
        <v>18574</v>
      </c>
      <c r="O32" s="13">
        <v>200530684</v>
      </c>
      <c r="P32" s="13" t="s">
        <v>89</v>
      </c>
      <c r="Q32" s="16" t="s">
        <v>90</v>
      </c>
      <c r="R32" s="16" t="s">
        <v>91</v>
      </c>
      <c r="S32" s="13">
        <v>1201</v>
      </c>
      <c r="T32" s="13" t="s">
        <v>48</v>
      </c>
      <c r="U32" s="13" t="s">
        <v>49</v>
      </c>
      <c r="V32" s="13">
        <v>978396779</v>
      </c>
      <c r="W32" s="13" t="s">
        <v>50</v>
      </c>
      <c r="X32" s="13" t="s">
        <v>51</v>
      </c>
      <c r="Y32" s="13" t="s">
        <v>92</v>
      </c>
      <c r="Z32" s="13" t="s">
        <v>51</v>
      </c>
      <c r="AA32" s="13" t="s">
        <v>51</v>
      </c>
      <c r="AB32" s="13" t="s">
        <v>51</v>
      </c>
      <c r="AC32" s="13" t="s">
        <v>76</v>
      </c>
      <c r="AD32" s="16" t="s">
        <v>51</v>
      </c>
      <c r="AE32" s="13" t="s">
        <v>54</v>
      </c>
      <c r="AF32" s="13" t="s">
        <v>54</v>
      </c>
      <c r="AG32" s="13" t="s">
        <v>54</v>
      </c>
      <c r="AH32" s="13" t="s">
        <v>93</v>
      </c>
      <c r="AI32" s="13" t="s">
        <v>54</v>
      </c>
      <c r="AJ32" s="13" t="s">
        <v>51</v>
      </c>
      <c r="AK32" s="89">
        <v>45133</v>
      </c>
      <c r="AL32" s="17" t="s">
        <v>185</v>
      </c>
      <c r="AM32" s="17" t="s">
        <v>374</v>
      </c>
      <c r="AN32" s="18"/>
      <c r="AO32" s="18"/>
    </row>
    <row r="33" spans="1:41" ht="46.5" customHeight="1" x14ac:dyDescent="0.25">
      <c r="A33" s="76">
        <v>31</v>
      </c>
      <c r="B33" s="90" t="s">
        <v>172</v>
      </c>
      <c r="C33" s="89">
        <v>45127</v>
      </c>
      <c r="D33" s="17">
        <v>7</v>
      </c>
      <c r="E33" s="89">
        <v>45134</v>
      </c>
      <c r="F33" s="27" t="s">
        <v>56</v>
      </c>
      <c r="G33" s="27" t="s">
        <v>188</v>
      </c>
      <c r="H33" s="27" t="s">
        <v>380</v>
      </c>
      <c r="I33" s="17" t="s">
        <v>59</v>
      </c>
      <c r="J33" s="17">
        <v>76</v>
      </c>
      <c r="K33" s="28" t="s">
        <v>383</v>
      </c>
      <c r="L33" s="13" t="s">
        <v>361</v>
      </c>
      <c r="M33" s="13" t="s">
        <v>142</v>
      </c>
      <c r="N33" s="89">
        <v>17162</v>
      </c>
      <c r="O33" s="17">
        <v>202300153443</v>
      </c>
      <c r="P33" s="17" t="s">
        <v>259</v>
      </c>
      <c r="Q33" s="29" t="s">
        <v>147</v>
      </c>
      <c r="R33" s="29" t="s">
        <v>386</v>
      </c>
      <c r="S33" s="17" t="s">
        <v>64</v>
      </c>
      <c r="T33" s="17" t="s">
        <v>48</v>
      </c>
      <c r="U33" s="13" t="s">
        <v>66</v>
      </c>
      <c r="V33" s="17">
        <v>9975300889</v>
      </c>
      <c r="W33" s="17" t="s">
        <v>50</v>
      </c>
      <c r="X33" s="17" t="s">
        <v>51</v>
      </c>
      <c r="Y33" s="17" t="s">
        <v>51</v>
      </c>
      <c r="Z33" s="17" t="s">
        <v>51</v>
      </c>
      <c r="AA33" s="17" t="s">
        <v>51</v>
      </c>
      <c r="AB33" s="17" t="s">
        <v>51</v>
      </c>
      <c r="AC33" s="17" t="s">
        <v>51</v>
      </c>
      <c r="AD33" s="29" t="s">
        <v>51</v>
      </c>
      <c r="AE33" s="17" t="s">
        <v>54</v>
      </c>
      <c r="AF33" s="17" t="s">
        <v>54</v>
      </c>
      <c r="AG33" s="17" t="s">
        <v>76</v>
      </c>
      <c r="AH33" s="17" t="s">
        <v>55</v>
      </c>
      <c r="AI33" s="17" t="s">
        <v>76</v>
      </c>
      <c r="AJ33" s="17" t="s">
        <v>76</v>
      </c>
      <c r="AK33" s="89">
        <v>45134</v>
      </c>
      <c r="AL33" s="17" t="s">
        <v>185</v>
      </c>
      <c r="AM33" s="29" t="s">
        <v>421</v>
      </c>
      <c r="AN33" s="18"/>
      <c r="AO33" s="18"/>
    </row>
    <row r="34" spans="1:41" ht="44.25" customHeight="1" x14ac:dyDescent="0.25">
      <c r="A34" s="76">
        <v>32</v>
      </c>
      <c r="B34" s="49" t="s">
        <v>172</v>
      </c>
      <c r="C34" s="24">
        <v>45108</v>
      </c>
      <c r="D34" s="13">
        <v>26</v>
      </c>
      <c r="E34" s="91">
        <v>45134</v>
      </c>
      <c r="F34" s="15" t="s">
        <v>68</v>
      </c>
      <c r="G34" s="15" t="s">
        <v>69</v>
      </c>
      <c r="H34" s="15" t="s">
        <v>70</v>
      </c>
      <c r="I34" s="13" t="s">
        <v>59</v>
      </c>
      <c r="J34" s="13">
        <v>72</v>
      </c>
      <c r="K34" s="20" t="s">
        <v>71</v>
      </c>
      <c r="L34" s="60" t="s">
        <v>72</v>
      </c>
      <c r="M34" s="13" t="s">
        <v>142</v>
      </c>
      <c r="N34" s="12">
        <v>18543</v>
      </c>
      <c r="O34" s="13">
        <v>202300150177</v>
      </c>
      <c r="P34" s="13" t="s">
        <v>73</v>
      </c>
      <c r="Q34" s="16" t="s">
        <v>74</v>
      </c>
      <c r="R34" s="16" t="s">
        <v>75</v>
      </c>
      <c r="S34" s="13" t="s">
        <v>64</v>
      </c>
      <c r="T34" s="13" t="s">
        <v>48</v>
      </c>
      <c r="U34" s="13" t="s">
        <v>66</v>
      </c>
      <c r="V34" s="13">
        <v>988560417</v>
      </c>
      <c r="W34" s="13" t="s">
        <v>67</v>
      </c>
      <c r="X34" s="13" t="s">
        <v>52</v>
      </c>
      <c r="Y34" s="13" t="s">
        <v>51</v>
      </c>
      <c r="Z34" s="13" t="s">
        <v>51</v>
      </c>
      <c r="AA34" s="13" t="s">
        <v>51</v>
      </c>
      <c r="AB34" s="13" t="s">
        <v>51</v>
      </c>
      <c r="AC34" s="13" t="s">
        <v>76</v>
      </c>
      <c r="AD34" s="16" t="s">
        <v>51</v>
      </c>
      <c r="AE34" s="13" t="s">
        <v>54</v>
      </c>
      <c r="AF34" s="13" t="s">
        <v>54</v>
      </c>
      <c r="AG34" s="13" t="s">
        <v>76</v>
      </c>
      <c r="AH34" s="13" t="s">
        <v>51</v>
      </c>
      <c r="AI34" s="13" t="s">
        <v>51</v>
      </c>
      <c r="AJ34" s="13" t="s">
        <v>51</v>
      </c>
      <c r="AK34" s="89">
        <v>45134</v>
      </c>
      <c r="AL34" s="17" t="s">
        <v>185</v>
      </c>
      <c r="AM34" s="17" t="s">
        <v>255</v>
      </c>
    </row>
    <row r="35" spans="1:41" ht="56.25" customHeight="1" x14ac:dyDescent="0.25">
      <c r="A35" s="76">
        <v>33</v>
      </c>
      <c r="B35" s="49" t="s">
        <v>172</v>
      </c>
      <c r="C35" s="25">
        <v>45110</v>
      </c>
      <c r="D35" s="13">
        <f>DAYS360(C35,E35)</f>
        <v>25</v>
      </c>
      <c r="E35" s="89">
        <v>45135</v>
      </c>
      <c r="F35" s="27" t="s">
        <v>77</v>
      </c>
      <c r="G35" s="27" t="s">
        <v>78</v>
      </c>
      <c r="H35" s="27" t="s">
        <v>79</v>
      </c>
      <c r="I35" s="17" t="s">
        <v>42</v>
      </c>
      <c r="J35" s="17">
        <v>24</v>
      </c>
      <c r="K35" s="38" t="s">
        <v>80</v>
      </c>
      <c r="L35" s="60" t="s">
        <v>51</v>
      </c>
      <c r="M35" s="13" t="s">
        <v>311</v>
      </c>
      <c r="N35" s="25">
        <v>36252</v>
      </c>
      <c r="O35" s="17">
        <v>99000434</v>
      </c>
      <c r="P35" s="17" t="s">
        <v>61</v>
      </c>
      <c r="Q35" s="29" t="s">
        <v>82</v>
      </c>
      <c r="R35" s="29" t="s">
        <v>83</v>
      </c>
      <c r="S35" s="17">
        <v>23</v>
      </c>
      <c r="T35" s="17" t="s">
        <v>48</v>
      </c>
      <c r="U35" s="13" t="s">
        <v>49</v>
      </c>
      <c r="V35" s="17">
        <v>977472822</v>
      </c>
      <c r="W35" s="17" t="s">
        <v>84</v>
      </c>
      <c r="X35" s="17" t="s">
        <v>51</v>
      </c>
      <c r="Y35" s="17" t="s">
        <v>51</v>
      </c>
      <c r="Z35" s="17" t="s">
        <v>51</v>
      </c>
      <c r="AA35" s="17" t="s">
        <v>53</v>
      </c>
      <c r="AB35" s="17" t="s">
        <v>51</v>
      </c>
      <c r="AC35" s="17" t="s">
        <v>51</v>
      </c>
      <c r="AD35" s="29" t="s">
        <v>51</v>
      </c>
      <c r="AE35" s="17" t="s">
        <v>54</v>
      </c>
      <c r="AF35" s="17" t="s">
        <v>54</v>
      </c>
      <c r="AG35" s="17" t="s">
        <v>54</v>
      </c>
      <c r="AH35" s="17" t="s">
        <v>51</v>
      </c>
      <c r="AI35" s="17" t="s">
        <v>51</v>
      </c>
      <c r="AJ35" s="17" t="s">
        <v>51</v>
      </c>
      <c r="AK35" s="89">
        <v>45135</v>
      </c>
      <c r="AL35" s="17"/>
      <c r="AM35" s="29" t="s">
        <v>427</v>
      </c>
      <c r="AN35" s="18"/>
      <c r="AO35" s="18"/>
    </row>
    <row r="36" spans="1:41" ht="45.75" customHeight="1" x14ac:dyDescent="0.25">
      <c r="A36" s="76">
        <v>34</v>
      </c>
      <c r="B36" s="90" t="s">
        <v>172</v>
      </c>
      <c r="C36" s="89">
        <v>45127</v>
      </c>
      <c r="D36" s="17">
        <f>DAYS360(C36,E36)</f>
        <v>8</v>
      </c>
      <c r="E36" s="89">
        <v>45135</v>
      </c>
      <c r="F36" s="27" t="s">
        <v>377</v>
      </c>
      <c r="G36" s="27" t="s">
        <v>378</v>
      </c>
      <c r="H36" s="27" t="s">
        <v>155</v>
      </c>
      <c r="I36" s="17" t="s">
        <v>59</v>
      </c>
      <c r="J36" s="17">
        <v>17</v>
      </c>
      <c r="K36" s="38" t="s">
        <v>379</v>
      </c>
      <c r="L36" s="13" t="s">
        <v>51</v>
      </c>
      <c r="M36" s="13" t="s">
        <v>173</v>
      </c>
      <c r="N36" s="89">
        <v>38619</v>
      </c>
      <c r="O36" s="17">
        <v>20190129668</v>
      </c>
      <c r="P36" s="17" t="s">
        <v>73</v>
      </c>
      <c r="Q36" s="29" t="s">
        <v>385</v>
      </c>
      <c r="R36" s="29" t="s">
        <v>386</v>
      </c>
      <c r="S36" s="17" t="s">
        <v>64</v>
      </c>
      <c r="T36" s="17" t="s">
        <v>48</v>
      </c>
      <c r="U36" s="13" t="s">
        <v>66</v>
      </c>
      <c r="V36" s="17">
        <v>932223803</v>
      </c>
      <c r="W36" s="17" t="s">
        <v>50</v>
      </c>
      <c r="X36" s="17" t="s">
        <v>51</v>
      </c>
      <c r="Y36" s="17" t="s">
        <v>51</v>
      </c>
      <c r="Z36" s="17" t="s">
        <v>51</v>
      </c>
      <c r="AA36" s="17" t="s">
        <v>51</v>
      </c>
      <c r="AB36" s="17" t="s">
        <v>54</v>
      </c>
      <c r="AC36" s="17" t="s">
        <v>51</v>
      </c>
      <c r="AD36" s="29" t="s">
        <v>51</v>
      </c>
      <c r="AE36" s="17" t="s">
        <v>54</v>
      </c>
      <c r="AF36" s="17" t="s">
        <v>54</v>
      </c>
      <c r="AG36" s="17" t="s">
        <v>54</v>
      </c>
      <c r="AH36" s="17" t="s">
        <v>51</v>
      </c>
      <c r="AI36" s="17" t="s">
        <v>76</v>
      </c>
      <c r="AJ36" s="17" t="s">
        <v>76</v>
      </c>
      <c r="AK36" s="89">
        <v>45135</v>
      </c>
      <c r="AL36" s="17" t="s">
        <v>185</v>
      </c>
      <c r="AM36" s="29" t="s">
        <v>428</v>
      </c>
      <c r="AN36" s="18"/>
      <c r="AO36" s="18"/>
    </row>
    <row r="37" spans="1:41" ht="36.75" customHeight="1" x14ac:dyDescent="0.25">
      <c r="A37" s="76">
        <v>35</v>
      </c>
      <c r="B37" s="90" t="s">
        <v>172</v>
      </c>
      <c r="C37" s="25">
        <v>45119</v>
      </c>
      <c r="D37" s="13">
        <f>DAYS360(C37,E37)</f>
        <v>18</v>
      </c>
      <c r="E37" s="89">
        <v>45137</v>
      </c>
      <c r="F37" s="26" t="s">
        <v>109</v>
      </c>
      <c r="G37" s="27" t="s">
        <v>149</v>
      </c>
      <c r="H37" s="27" t="s">
        <v>150</v>
      </c>
      <c r="I37" s="17" t="s">
        <v>59</v>
      </c>
      <c r="J37" s="17">
        <v>72</v>
      </c>
      <c r="K37" s="38" t="s">
        <v>151</v>
      </c>
      <c r="L37" s="60" t="s">
        <v>72</v>
      </c>
      <c r="M37" s="13" t="s">
        <v>142</v>
      </c>
      <c r="N37" s="25">
        <v>18540</v>
      </c>
      <c r="O37" s="17">
        <v>99000663</v>
      </c>
      <c r="P37" s="17" t="s">
        <v>73</v>
      </c>
      <c r="Q37" s="29" t="s">
        <v>152</v>
      </c>
      <c r="R37" s="29" t="s">
        <v>153</v>
      </c>
      <c r="S37" s="17">
        <v>645</v>
      </c>
      <c r="T37" s="17" t="s">
        <v>48</v>
      </c>
      <c r="U37" s="13" t="s">
        <v>49</v>
      </c>
      <c r="V37" s="17">
        <v>976543319</v>
      </c>
      <c r="W37" s="17" t="s">
        <v>50</v>
      </c>
      <c r="X37" s="17" t="s">
        <v>52</v>
      </c>
      <c r="Y37" s="17" t="s">
        <v>51</v>
      </c>
      <c r="Z37" s="17" t="s">
        <v>51</v>
      </c>
      <c r="AA37" s="17" t="s">
        <v>51</v>
      </c>
      <c r="AB37" s="17" t="s">
        <v>54</v>
      </c>
      <c r="AC37" s="17" t="s">
        <v>51</v>
      </c>
      <c r="AD37" s="17" t="s">
        <v>51</v>
      </c>
      <c r="AE37" s="17" t="s">
        <v>54</v>
      </c>
      <c r="AF37" s="17" t="s">
        <v>54</v>
      </c>
      <c r="AG37" s="17" t="s">
        <v>54</v>
      </c>
      <c r="AH37" s="17" t="s">
        <v>51</v>
      </c>
      <c r="AI37" s="17" t="s">
        <v>51</v>
      </c>
      <c r="AJ37" s="17" t="s">
        <v>51</v>
      </c>
      <c r="AK37" s="89">
        <v>45127</v>
      </c>
      <c r="AL37" s="17" t="s">
        <v>175</v>
      </c>
      <c r="AM37" s="17" t="s">
        <v>429</v>
      </c>
    </row>
    <row r="38" spans="1:41" ht="42.75" customHeight="1" x14ac:dyDescent="0.25">
      <c r="A38" s="76">
        <v>36</v>
      </c>
      <c r="B38" s="90" t="s">
        <v>172</v>
      </c>
      <c r="C38" s="89">
        <v>45125</v>
      </c>
      <c r="D38" s="13">
        <f t="shared" ref="D38" ca="1" si="0">DAYS360(C38,TODAY())</f>
        <v>13</v>
      </c>
      <c r="E38" s="89">
        <v>45138</v>
      </c>
      <c r="F38" s="27" t="s">
        <v>367</v>
      </c>
      <c r="G38" s="27" t="s">
        <v>375</v>
      </c>
      <c r="H38" s="27" t="s">
        <v>368</v>
      </c>
      <c r="I38" s="17" t="s">
        <v>42</v>
      </c>
      <c r="J38" s="17">
        <v>64</v>
      </c>
      <c r="K38" s="38" t="s">
        <v>376</v>
      </c>
      <c r="L38" s="60" t="s">
        <v>361</v>
      </c>
      <c r="M38" s="13" t="s">
        <v>142</v>
      </c>
      <c r="N38" s="89">
        <v>21466</v>
      </c>
      <c r="O38" s="17">
        <v>202300153482</v>
      </c>
      <c r="P38" s="17" t="s">
        <v>259</v>
      </c>
      <c r="Q38" s="29" t="s">
        <v>260</v>
      </c>
      <c r="R38" s="29" t="s">
        <v>373</v>
      </c>
      <c r="S38" s="17" t="s">
        <v>64</v>
      </c>
      <c r="T38" s="17" t="s">
        <v>48</v>
      </c>
      <c r="U38" s="13" t="s">
        <v>66</v>
      </c>
      <c r="V38" s="17">
        <v>956616064</v>
      </c>
      <c r="W38" s="17" t="s">
        <v>50</v>
      </c>
      <c r="X38" s="17" t="s">
        <v>51</v>
      </c>
      <c r="Y38" s="17" t="s">
        <v>51</v>
      </c>
      <c r="Z38" s="17" t="s">
        <v>51</v>
      </c>
      <c r="AA38" s="17" t="s">
        <v>51</v>
      </c>
      <c r="AB38" s="17" t="s">
        <v>51</v>
      </c>
      <c r="AC38" s="17" t="s">
        <v>51</v>
      </c>
      <c r="AD38" s="29" t="s">
        <v>51</v>
      </c>
      <c r="AE38" s="17" t="s">
        <v>54</v>
      </c>
      <c r="AF38" s="17" t="s">
        <v>54</v>
      </c>
      <c r="AG38" s="17" t="s">
        <v>76</v>
      </c>
      <c r="AH38" s="17" t="s">
        <v>108</v>
      </c>
      <c r="AI38" s="17" t="s">
        <v>76</v>
      </c>
      <c r="AJ38" s="17" t="s">
        <v>76</v>
      </c>
      <c r="AK38" s="89">
        <v>45138</v>
      </c>
      <c r="AL38" s="17" t="s">
        <v>185</v>
      </c>
      <c r="AM38" s="17" t="s">
        <v>374</v>
      </c>
    </row>
    <row r="39" spans="1:41" ht="15.75" customHeight="1" x14ac:dyDescent="0.25">
      <c r="L39" s="13"/>
      <c r="U39" s="13"/>
    </row>
    <row r="40" spans="1:41" ht="15.75" customHeight="1" x14ac:dyDescent="0.25">
      <c r="L40" s="13"/>
      <c r="U40" s="13"/>
    </row>
    <row r="41" spans="1:41" ht="15.75" customHeight="1" x14ac:dyDescent="0.25">
      <c r="L41" s="13"/>
      <c r="U41" s="13"/>
    </row>
    <row r="42" spans="1:41" ht="15.75" customHeight="1" x14ac:dyDescent="0.25">
      <c r="L42" s="13"/>
      <c r="U42" s="13"/>
    </row>
    <row r="43" spans="1:41" ht="15.75" customHeight="1" x14ac:dyDescent="0.25">
      <c r="L43" s="13"/>
      <c r="U43" s="13"/>
    </row>
    <row r="44" spans="1:41" ht="15.75" customHeight="1" x14ac:dyDescent="0.25">
      <c r="L44" s="13"/>
      <c r="U44" s="13"/>
    </row>
    <row r="45" spans="1:41" ht="15.75" customHeight="1" x14ac:dyDescent="0.25">
      <c r="L45" s="13"/>
      <c r="U45" s="13"/>
    </row>
    <row r="46" spans="1:41" ht="15.75" customHeight="1" x14ac:dyDescent="0.25">
      <c r="L46" s="13"/>
      <c r="U46" s="13"/>
    </row>
    <row r="47" spans="1:41" ht="15.75" customHeight="1" x14ac:dyDescent="0.25">
      <c r="L47" s="13"/>
      <c r="U47" s="13"/>
    </row>
    <row r="48" spans="1:41" ht="15.75" customHeight="1" x14ac:dyDescent="0.25">
      <c r="L48" s="13"/>
      <c r="U48" s="13"/>
    </row>
    <row r="49" spans="12:21" ht="15.75" customHeight="1" x14ac:dyDescent="0.25">
      <c r="L49" s="13"/>
      <c r="U49" s="13"/>
    </row>
    <row r="50" spans="12:21" ht="15.75" customHeight="1" x14ac:dyDescent="0.25">
      <c r="L50" s="13"/>
      <c r="U50" s="13"/>
    </row>
    <row r="51" spans="12:21" ht="15.75" customHeight="1" x14ac:dyDescent="0.25">
      <c r="L51" s="13"/>
      <c r="U51" s="13"/>
    </row>
    <row r="52" spans="12:21" ht="15.75" customHeight="1" x14ac:dyDescent="0.25">
      <c r="L52" s="13"/>
      <c r="U52" s="13"/>
    </row>
    <row r="53" spans="12:21" ht="15.75" customHeight="1" x14ac:dyDescent="0.25">
      <c r="L53" s="13"/>
      <c r="U53" s="13"/>
    </row>
    <row r="54" spans="12:21" ht="15.75" customHeight="1" x14ac:dyDescent="0.25">
      <c r="L54" s="13"/>
      <c r="U54" s="13"/>
    </row>
    <row r="55" spans="12:21" ht="15.75" customHeight="1" x14ac:dyDescent="0.25">
      <c r="L55" s="13"/>
      <c r="U55" s="13"/>
    </row>
    <row r="56" spans="12:21" ht="15.75" customHeight="1" x14ac:dyDescent="0.25">
      <c r="L56" s="13"/>
      <c r="U56" s="13"/>
    </row>
    <row r="57" spans="12:21" ht="15.75" customHeight="1" x14ac:dyDescent="0.25">
      <c r="L57" s="13"/>
      <c r="U57" s="13"/>
    </row>
    <row r="58" spans="12:21" ht="15.75" customHeight="1" x14ac:dyDescent="0.25">
      <c r="L58" s="13"/>
      <c r="U58" s="13"/>
    </row>
    <row r="59" spans="12:21" ht="15.75" customHeight="1" x14ac:dyDescent="0.25">
      <c r="L59" s="13"/>
      <c r="U59" s="13"/>
    </row>
    <row r="60" spans="12:21" ht="15.75" customHeight="1" x14ac:dyDescent="0.25">
      <c r="L60" s="13"/>
      <c r="U60" s="13"/>
    </row>
    <row r="61" spans="12:21" ht="15.75" customHeight="1" x14ac:dyDescent="0.25">
      <c r="L61" s="13"/>
      <c r="U61" s="13"/>
    </row>
    <row r="62" spans="12:21" ht="15.75" customHeight="1" x14ac:dyDescent="0.25">
      <c r="L62" s="13"/>
      <c r="U62" s="13"/>
    </row>
    <row r="63" spans="12:21" ht="15.75" customHeight="1" x14ac:dyDescent="0.25">
      <c r="L63" s="13"/>
      <c r="U63" s="13"/>
    </row>
    <row r="64" spans="12:21" ht="15.75" customHeight="1" x14ac:dyDescent="0.25">
      <c r="L64" s="13"/>
      <c r="U64" s="13"/>
    </row>
    <row r="65" spans="12:21" ht="15.75" customHeight="1" x14ac:dyDescent="0.25">
      <c r="L65" s="13"/>
      <c r="U65" s="13"/>
    </row>
    <row r="66" spans="12:21" ht="15.75" customHeight="1" x14ac:dyDescent="0.25">
      <c r="L66" s="13"/>
      <c r="U66" s="13"/>
    </row>
    <row r="67" spans="12:21" ht="15.75" customHeight="1" x14ac:dyDescent="0.25">
      <c r="L67" s="13"/>
      <c r="U67" s="13"/>
    </row>
    <row r="68" spans="12:21" ht="15.75" customHeight="1" x14ac:dyDescent="0.25">
      <c r="L68" s="13"/>
      <c r="U68" s="13"/>
    </row>
    <row r="69" spans="12:21" ht="15.75" customHeight="1" x14ac:dyDescent="0.25">
      <c r="L69" s="13"/>
      <c r="U69" s="13"/>
    </row>
    <row r="70" spans="12:21" ht="15.75" customHeight="1" x14ac:dyDescent="0.25">
      <c r="L70" s="13"/>
      <c r="U70" s="13"/>
    </row>
    <row r="71" spans="12:21" ht="15.75" customHeight="1" x14ac:dyDescent="0.25">
      <c r="L71" s="13"/>
      <c r="U71" s="13"/>
    </row>
    <row r="72" spans="12:21" ht="15.75" customHeight="1" x14ac:dyDescent="0.25">
      <c r="L72" s="13"/>
      <c r="U72" s="13"/>
    </row>
    <row r="73" spans="12:21" ht="15.75" customHeight="1" x14ac:dyDescent="0.25">
      <c r="L73" s="13"/>
      <c r="U73" s="13"/>
    </row>
    <row r="74" spans="12:21" ht="15.75" customHeight="1" x14ac:dyDescent="0.25">
      <c r="L74" s="13"/>
      <c r="U74" s="13"/>
    </row>
    <row r="75" spans="12:21" ht="15.75" customHeight="1" x14ac:dyDescent="0.25">
      <c r="L75" s="13"/>
      <c r="U75" s="13"/>
    </row>
    <row r="76" spans="12:21" ht="15.75" customHeight="1" x14ac:dyDescent="0.25">
      <c r="L76" s="13"/>
      <c r="U76" s="13"/>
    </row>
    <row r="77" spans="12:21" ht="15.75" customHeight="1" x14ac:dyDescent="0.25">
      <c r="L77" s="13"/>
      <c r="U77" s="13"/>
    </row>
    <row r="78" spans="12:21" ht="15.75" customHeight="1" x14ac:dyDescent="0.25">
      <c r="L78" s="13"/>
      <c r="U78" s="13"/>
    </row>
    <row r="79" spans="12:21" ht="15.75" customHeight="1" x14ac:dyDescent="0.25">
      <c r="L79" s="13"/>
      <c r="U79" s="13"/>
    </row>
    <row r="80" spans="12:21" ht="15.75" customHeight="1" x14ac:dyDescent="0.25">
      <c r="L80" s="13"/>
      <c r="U80" s="13"/>
    </row>
    <row r="81" spans="12:21" ht="15.75" customHeight="1" x14ac:dyDescent="0.25">
      <c r="L81" s="13"/>
      <c r="U81" s="13"/>
    </row>
    <row r="82" spans="12:21" ht="15.75" customHeight="1" x14ac:dyDescent="0.25">
      <c r="L82" s="13"/>
      <c r="U82" s="13"/>
    </row>
    <row r="83" spans="12:21" ht="15.75" customHeight="1" x14ac:dyDescent="0.25">
      <c r="L83" s="13"/>
      <c r="U83" s="13"/>
    </row>
    <row r="84" spans="12:21" ht="15.75" customHeight="1" x14ac:dyDescent="0.25">
      <c r="L84" s="13"/>
      <c r="U84" s="13"/>
    </row>
    <row r="85" spans="12:21" ht="15.75" customHeight="1" x14ac:dyDescent="0.25">
      <c r="L85" s="13"/>
      <c r="U85" s="13"/>
    </row>
    <row r="86" spans="12:21" ht="15.75" customHeight="1" x14ac:dyDescent="0.25">
      <c r="L86" s="13"/>
      <c r="U86" s="13"/>
    </row>
    <row r="87" spans="12:21" ht="15.75" customHeight="1" x14ac:dyDescent="0.25">
      <c r="L87" s="13"/>
      <c r="U87" s="13"/>
    </row>
    <row r="88" spans="12:21" ht="15.75" customHeight="1" x14ac:dyDescent="0.25">
      <c r="L88" s="13"/>
      <c r="U88" s="13"/>
    </row>
    <row r="89" spans="12:21" ht="15.75" customHeight="1" x14ac:dyDescent="0.25">
      <c r="L89" s="13"/>
      <c r="U89" s="13"/>
    </row>
    <row r="90" spans="12:21" ht="15.75" customHeight="1" x14ac:dyDescent="0.25">
      <c r="L90" s="13"/>
      <c r="U90" s="13"/>
    </row>
    <row r="91" spans="12:21" ht="15.75" customHeight="1" x14ac:dyDescent="0.25">
      <c r="L91" s="13"/>
      <c r="U91" s="13"/>
    </row>
    <row r="92" spans="12:21" ht="15.75" customHeight="1" x14ac:dyDescent="0.25">
      <c r="L92" s="13"/>
      <c r="U92" s="13"/>
    </row>
    <row r="93" spans="12:21" ht="15.75" customHeight="1" x14ac:dyDescent="0.25">
      <c r="L93" s="13"/>
      <c r="U93" s="13"/>
    </row>
    <row r="94" spans="12:21" ht="15.75" customHeight="1" x14ac:dyDescent="0.25">
      <c r="L94" s="13"/>
      <c r="U94" s="13"/>
    </row>
    <row r="95" spans="12:21" ht="15.75" customHeight="1" x14ac:dyDescent="0.25">
      <c r="L95" s="13"/>
      <c r="U95" s="13"/>
    </row>
    <row r="96" spans="12:21" ht="15.75" customHeight="1" x14ac:dyDescent="0.25">
      <c r="L96" s="13"/>
      <c r="U96" s="13"/>
    </row>
    <row r="97" spans="12:21" ht="15.75" customHeight="1" x14ac:dyDescent="0.25">
      <c r="L97" s="13"/>
      <c r="U97" s="13"/>
    </row>
    <row r="98" spans="12:21" ht="15.75" customHeight="1" x14ac:dyDescent="0.25">
      <c r="L98" s="13"/>
      <c r="U98" s="13"/>
    </row>
    <row r="99" spans="12:21" ht="15.75" customHeight="1" x14ac:dyDescent="0.25">
      <c r="L99" s="13"/>
      <c r="U99" s="13"/>
    </row>
    <row r="100" spans="12:21" ht="15.75" customHeight="1" x14ac:dyDescent="0.25">
      <c r="L100" s="13"/>
      <c r="U100" s="13"/>
    </row>
    <row r="101" spans="12:21" ht="15.75" customHeight="1" x14ac:dyDescent="0.25">
      <c r="L101" s="13"/>
      <c r="U101" s="13"/>
    </row>
    <row r="102" spans="12:21" ht="15.75" customHeight="1" x14ac:dyDescent="0.25">
      <c r="L102" s="13"/>
      <c r="U102" s="13"/>
    </row>
    <row r="103" spans="12:21" ht="15.75" customHeight="1" x14ac:dyDescent="0.25">
      <c r="L103" s="13"/>
      <c r="U103" s="13"/>
    </row>
    <row r="104" spans="12:21" ht="15.75" customHeight="1" x14ac:dyDescent="0.25">
      <c r="L104" s="13"/>
      <c r="U104" s="13"/>
    </row>
    <row r="105" spans="12:21" ht="15.75" customHeight="1" x14ac:dyDescent="0.25">
      <c r="L105" s="13"/>
      <c r="U105" s="13"/>
    </row>
    <row r="106" spans="12:21" ht="15.75" customHeight="1" x14ac:dyDescent="0.25">
      <c r="L106" s="13"/>
      <c r="U106" s="13"/>
    </row>
    <row r="107" spans="12:21" ht="15.75" customHeight="1" x14ac:dyDescent="0.25">
      <c r="L107" s="13"/>
      <c r="U107" s="13"/>
    </row>
    <row r="108" spans="12:21" ht="15.75" customHeight="1" x14ac:dyDescent="0.25">
      <c r="L108" s="13"/>
      <c r="U108" s="13"/>
    </row>
    <row r="109" spans="12:21" ht="15.75" customHeight="1" x14ac:dyDescent="0.25">
      <c r="L109" s="13"/>
      <c r="U109" s="13"/>
    </row>
    <row r="110" spans="12:21" ht="15.75" customHeight="1" x14ac:dyDescent="0.25">
      <c r="L110" s="13"/>
      <c r="U110" s="13"/>
    </row>
    <row r="111" spans="12:21" ht="15.75" customHeight="1" x14ac:dyDescent="0.25">
      <c r="L111" s="13"/>
      <c r="U111" s="13"/>
    </row>
    <row r="112" spans="12:21" ht="15.75" customHeight="1" x14ac:dyDescent="0.25">
      <c r="L112" s="13"/>
      <c r="U112" s="13"/>
    </row>
    <row r="113" spans="12:21" ht="15.75" customHeight="1" x14ac:dyDescent="0.25">
      <c r="L113" s="13"/>
      <c r="U113" s="13"/>
    </row>
    <row r="114" spans="12:21" ht="15.75" customHeight="1" x14ac:dyDescent="0.25">
      <c r="L114" s="13"/>
      <c r="U114" s="13"/>
    </row>
    <row r="115" spans="12:21" ht="15.75" customHeight="1" x14ac:dyDescent="0.25">
      <c r="L115" s="13"/>
      <c r="U115" s="13"/>
    </row>
    <row r="116" spans="12:21" ht="15.75" customHeight="1" x14ac:dyDescent="0.25">
      <c r="L116" s="13"/>
      <c r="U116" s="13"/>
    </row>
    <row r="117" spans="12:21" ht="15.75" customHeight="1" x14ac:dyDescent="0.25">
      <c r="L117" s="13"/>
      <c r="U117" s="13"/>
    </row>
    <row r="118" spans="12:21" ht="15.75" customHeight="1" x14ac:dyDescent="0.25">
      <c r="L118" s="13"/>
      <c r="U118" s="13"/>
    </row>
    <row r="119" spans="12:21" ht="15.75" customHeight="1" x14ac:dyDescent="0.25">
      <c r="L119" s="13"/>
      <c r="U119" s="13"/>
    </row>
    <row r="120" spans="12:21" ht="15.75" customHeight="1" x14ac:dyDescent="0.25">
      <c r="L120" s="13"/>
      <c r="U120" s="13"/>
    </row>
    <row r="121" spans="12:21" ht="15.75" customHeight="1" x14ac:dyDescent="0.25">
      <c r="L121" s="13"/>
      <c r="U121" s="13"/>
    </row>
    <row r="122" spans="12:21" ht="15.75" customHeight="1" x14ac:dyDescent="0.25">
      <c r="L122" s="13"/>
      <c r="U122" s="13"/>
    </row>
    <row r="123" spans="12:21" ht="15.75" customHeight="1" x14ac:dyDescent="0.25">
      <c r="L123" s="13"/>
      <c r="U123" s="13"/>
    </row>
    <row r="124" spans="12:21" ht="15.75" customHeight="1" x14ac:dyDescent="0.25">
      <c r="L124" s="13"/>
      <c r="U124" s="13"/>
    </row>
    <row r="125" spans="12:21" ht="15.75" customHeight="1" x14ac:dyDescent="0.25">
      <c r="L125" s="13"/>
      <c r="U125" s="13"/>
    </row>
    <row r="126" spans="12:21" ht="15.75" customHeight="1" x14ac:dyDescent="0.25">
      <c r="L126" s="13"/>
      <c r="U126" s="13"/>
    </row>
    <row r="127" spans="12:21" ht="15.75" customHeight="1" x14ac:dyDescent="0.25">
      <c r="L127" s="13"/>
      <c r="U127" s="13"/>
    </row>
    <row r="128" spans="12:21" ht="15.75" customHeight="1" x14ac:dyDescent="0.25">
      <c r="L128" s="13"/>
      <c r="U128" s="13"/>
    </row>
    <row r="129" spans="12:21" ht="15.75" customHeight="1" x14ac:dyDescent="0.25">
      <c r="L129" s="13"/>
      <c r="U129" s="13"/>
    </row>
    <row r="130" spans="12:21" ht="15.75" customHeight="1" x14ac:dyDescent="0.25">
      <c r="L130" s="13"/>
      <c r="U130" s="13"/>
    </row>
    <row r="131" spans="12:21" ht="15.75" customHeight="1" x14ac:dyDescent="0.25">
      <c r="L131" s="13"/>
      <c r="U131" s="13"/>
    </row>
    <row r="132" spans="12:21" ht="15.75" customHeight="1" x14ac:dyDescent="0.25">
      <c r="L132" s="13"/>
      <c r="U132" s="13"/>
    </row>
    <row r="133" spans="12:21" ht="15.75" customHeight="1" x14ac:dyDescent="0.25">
      <c r="L133" s="13"/>
      <c r="U133" s="13"/>
    </row>
    <row r="134" spans="12:21" ht="15.75" customHeight="1" x14ac:dyDescent="0.25">
      <c r="L134" s="13"/>
      <c r="U134" s="13"/>
    </row>
    <row r="135" spans="12:21" ht="15.75" customHeight="1" x14ac:dyDescent="0.25">
      <c r="L135" s="13"/>
      <c r="U135" s="13"/>
    </row>
    <row r="136" spans="12:21" ht="15.75" customHeight="1" x14ac:dyDescent="0.25">
      <c r="L136" s="13"/>
      <c r="U136" s="13"/>
    </row>
    <row r="137" spans="12:21" ht="15.75" customHeight="1" x14ac:dyDescent="0.25">
      <c r="L137" s="13"/>
      <c r="U137" s="13"/>
    </row>
    <row r="138" spans="12:21" ht="15.75" customHeight="1" x14ac:dyDescent="0.25">
      <c r="L138" s="13"/>
      <c r="U138" s="13"/>
    </row>
    <row r="139" spans="12:21" ht="15.75" customHeight="1" x14ac:dyDescent="0.25">
      <c r="L139" s="13"/>
      <c r="U139" s="13"/>
    </row>
    <row r="140" spans="12:21" ht="15.75" customHeight="1" x14ac:dyDescent="0.25">
      <c r="L140" s="13"/>
      <c r="U140" s="13"/>
    </row>
    <row r="141" spans="12:21" ht="15.75" customHeight="1" x14ac:dyDescent="0.25">
      <c r="L141" s="13"/>
      <c r="U141" s="13"/>
    </row>
    <row r="142" spans="12:21" ht="15.75" customHeight="1" x14ac:dyDescent="0.25">
      <c r="L142" s="13"/>
      <c r="U142" s="13"/>
    </row>
    <row r="143" spans="12:21" ht="15.75" customHeight="1" x14ac:dyDescent="0.25">
      <c r="L143" s="13"/>
      <c r="U143" s="13"/>
    </row>
    <row r="144" spans="12:21" ht="15.75" customHeight="1" x14ac:dyDescent="0.25">
      <c r="L144" s="13"/>
      <c r="U144" s="13"/>
    </row>
    <row r="145" spans="12:21" ht="15.75" customHeight="1" x14ac:dyDescent="0.25">
      <c r="L145" s="13"/>
      <c r="U145" s="13"/>
    </row>
    <row r="146" spans="12:21" ht="15.75" customHeight="1" x14ac:dyDescent="0.25">
      <c r="L146" s="13"/>
      <c r="U146" s="13"/>
    </row>
    <row r="147" spans="12:21" ht="15.75" customHeight="1" x14ac:dyDescent="0.25">
      <c r="L147" s="13"/>
      <c r="U147" s="13"/>
    </row>
    <row r="148" spans="12:21" ht="15.75" customHeight="1" x14ac:dyDescent="0.25">
      <c r="L148" s="13"/>
      <c r="U148" s="13"/>
    </row>
    <row r="149" spans="12:21" ht="15.75" customHeight="1" x14ac:dyDescent="0.25">
      <c r="L149" s="13"/>
      <c r="U149" s="13"/>
    </row>
    <row r="150" spans="12:21" ht="15.75" customHeight="1" x14ac:dyDescent="0.25">
      <c r="L150" s="13"/>
      <c r="U150" s="13"/>
    </row>
    <row r="151" spans="12:21" ht="15.75" customHeight="1" x14ac:dyDescent="0.25">
      <c r="L151" s="13"/>
      <c r="U151" s="13"/>
    </row>
    <row r="152" spans="12:21" ht="15.75" customHeight="1" x14ac:dyDescent="0.25">
      <c r="L152" s="13"/>
      <c r="U152" s="13"/>
    </row>
    <row r="153" spans="12:21" ht="15.75" customHeight="1" x14ac:dyDescent="0.25">
      <c r="L153" s="13"/>
      <c r="U153" s="13"/>
    </row>
    <row r="154" spans="12:21" ht="15.75" customHeight="1" x14ac:dyDescent="0.25">
      <c r="L154" s="13"/>
      <c r="U154" s="13"/>
    </row>
    <row r="155" spans="12:21" ht="15.75" customHeight="1" x14ac:dyDescent="0.25">
      <c r="L155" s="13"/>
      <c r="U155" s="13"/>
    </row>
    <row r="156" spans="12:21" ht="15.75" customHeight="1" x14ac:dyDescent="0.25">
      <c r="L156" s="13"/>
      <c r="U156" s="13"/>
    </row>
    <row r="157" spans="12:21" ht="15.75" customHeight="1" x14ac:dyDescent="0.25">
      <c r="L157" s="13"/>
      <c r="U157" s="13"/>
    </row>
    <row r="158" spans="12:21" ht="15.75" customHeight="1" x14ac:dyDescent="0.25">
      <c r="L158" s="13"/>
      <c r="U158" s="13"/>
    </row>
    <row r="159" spans="12:21" ht="15.75" customHeight="1" x14ac:dyDescent="0.25">
      <c r="L159" s="13"/>
      <c r="U159" s="13"/>
    </row>
    <row r="160" spans="12:21" ht="15.75" customHeight="1" x14ac:dyDescent="0.25">
      <c r="L160" s="13"/>
      <c r="U160" s="13"/>
    </row>
    <row r="161" spans="12:21" ht="15.75" customHeight="1" x14ac:dyDescent="0.25">
      <c r="L161" s="13"/>
      <c r="U161" s="13"/>
    </row>
    <row r="162" spans="12:21" ht="15.75" customHeight="1" x14ac:dyDescent="0.25">
      <c r="L162" s="13"/>
      <c r="U162" s="13"/>
    </row>
    <row r="163" spans="12:21" ht="15.75" customHeight="1" x14ac:dyDescent="0.25">
      <c r="L163" s="13"/>
      <c r="U163" s="13"/>
    </row>
    <row r="164" spans="12:21" ht="15.75" customHeight="1" x14ac:dyDescent="0.25">
      <c r="L164" s="13"/>
      <c r="U164" s="13"/>
    </row>
    <row r="165" spans="12:21" ht="15.75" customHeight="1" x14ac:dyDescent="0.25">
      <c r="L165" s="13"/>
      <c r="U165" s="13"/>
    </row>
    <row r="166" spans="12:21" ht="15.75" customHeight="1" x14ac:dyDescent="0.25">
      <c r="L166" s="13"/>
      <c r="U166" s="13"/>
    </row>
    <row r="167" spans="12:21" ht="15.75" customHeight="1" x14ac:dyDescent="0.25">
      <c r="L167" s="13"/>
      <c r="U167" s="13"/>
    </row>
    <row r="168" spans="12:21" ht="15.75" customHeight="1" x14ac:dyDescent="0.25">
      <c r="L168" s="13"/>
      <c r="U168" s="13"/>
    </row>
    <row r="169" spans="12:21" ht="15.75" customHeight="1" x14ac:dyDescent="0.25">
      <c r="L169" s="13"/>
      <c r="U169" s="13"/>
    </row>
    <row r="170" spans="12:21" ht="15.75" customHeight="1" x14ac:dyDescent="0.25">
      <c r="L170" s="13"/>
      <c r="U170" s="13"/>
    </row>
    <row r="171" spans="12:21" ht="15.75" customHeight="1" x14ac:dyDescent="0.25">
      <c r="L171" s="13"/>
      <c r="U171" s="13"/>
    </row>
    <row r="172" spans="12:21" ht="15.75" customHeight="1" x14ac:dyDescent="0.25">
      <c r="L172" s="13"/>
      <c r="U172" s="13"/>
    </row>
    <row r="173" spans="12:21" ht="15.75" customHeight="1" x14ac:dyDescent="0.25">
      <c r="L173" s="13"/>
      <c r="U173" s="13"/>
    </row>
    <row r="174" spans="12:21" ht="15.75" customHeight="1" x14ac:dyDescent="0.25">
      <c r="L174" s="13"/>
      <c r="U174" s="13"/>
    </row>
    <row r="175" spans="12:21" ht="15.75" customHeight="1" x14ac:dyDescent="0.25">
      <c r="L175" s="13"/>
      <c r="U175" s="13"/>
    </row>
    <row r="176" spans="12:21" ht="15.75" customHeight="1" x14ac:dyDescent="0.25">
      <c r="L176" s="13"/>
      <c r="U176" s="13"/>
    </row>
    <row r="177" spans="12:21" ht="15.75" customHeight="1" x14ac:dyDescent="0.25">
      <c r="L177" s="13"/>
      <c r="U177" s="13"/>
    </row>
    <row r="178" spans="12:21" ht="15.75" customHeight="1" x14ac:dyDescent="0.25">
      <c r="U178" s="13"/>
    </row>
    <row r="179" spans="12:21" ht="15.75" customHeight="1" x14ac:dyDescent="0.25">
      <c r="U179" s="13"/>
    </row>
    <row r="180" spans="12:21" ht="15.75" customHeight="1" x14ac:dyDescent="0.25">
      <c r="U180" s="13"/>
    </row>
    <row r="181" spans="12:21" ht="15.75" customHeight="1" x14ac:dyDescent="0.25">
      <c r="U181" s="13"/>
    </row>
    <row r="182" spans="12:21" ht="15.75" customHeight="1" x14ac:dyDescent="0.25">
      <c r="U182" s="13"/>
    </row>
    <row r="183" spans="12:21" ht="15.75" customHeight="1" x14ac:dyDescent="0.25">
      <c r="U183" s="13"/>
    </row>
    <row r="184" spans="12:21" ht="15.75" customHeight="1" x14ac:dyDescent="0.25">
      <c r="U184" s="13"/>
    </row>
    <row r="185" spans="12:21" ht="15.75" customHeight="1" x14ac:dyDescent="0.25">
      <c r="U185" s="13"/>
    </row>
    <row r="186" spans="12:21" ht="15.75" customHeight="1" x14ac:dyDescent="0.25">
      <c r="U186" s="13"/>
    </row>
    <row r="187" spans="12:21" ht="15.75" customHeight="1" x14ac:dyDescent="0.25"/>
    <row r="188" spans="12:21" ht="15.75" customHeight="1" x14ac:dyDescent="0.25"/>
    <row r="189" spans="12:21" ht="15.75" customHeight="1" x14ac:dyDescent="0.25"/>
    <row r="190" spans="12:21" ht="15.75" customHeight="1" x14ac:dyDescent="0.25"/>
    <row r="191" spans="12:21" ht="15.75" customHeight="1" x14ac:dyDescent="0.25"/>
    <row r="192" spans="12:21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ErrorMessage="1" xr:uid="{00000000-0002-0000-0300-000000000000}">
          <x14:formula1>
            <xm:f>'NO MODIFICAR'!$I$3:$I$5</xm:f>
          </x14:formula1>
          <xm:sqref>U3:U186</xm:sqref>
        </x14:dataValidation>
        <x14:dataValidation type="list" allowBlank="1" showErrorMessage="1" xr:uid="{00000000-0002-0000-0300-000001000000}">
          <x14:formula1>
            <xm:f>'NO MODIFICAR'!$D$3:$D$12</xm:f>
          </x14:formula1>
          <xm:sqref>P11</xm:sqref>
        </x14:dataValidation>
        <x14:dataValidation type="list" allowBlank="1" showErrorMessage="1" xr:uid="{00000000-0002-0000-0300-000002000000}">
          <x14:formula1>
            <xm:f>'NO MODIFICAR'!$S$3:$S$6</xm:f>
          </x14:formula1>
          <xm:sqref>AH3:AH15 AG16 AH17:AH38</xm:sqref>
        </x14:dataValidation>
        <x14:dataValidation type="list" allowBlank="1" showErrorMessage="1" xr:uid="{00000000-0002-0000-0300-000003000000}">
          <x14:formula1>
            <xm:f>'NO MODIFICAR'!$H$3:$H$9</xm:f>
          </x14:formula1>
          <xm:sqref>M28:M38 M23:M26</xm:sqref>
        </x14:dataValidation>
        <x14:dataValidation type="list" allowBlank="1" showErrorMessage="1" xr:uid="{00000000-0002-0000-0300-000004000000}">
          <x14:formula1>
            <xm:f>'NO MODIFICAR'!$H$3:$H$5</xm:f>
          </x14:formula1>
          <xm:sqref>M3:M22 M27</xm:sqref>
        </x14:dataValidation>
        <x14:dataValidation type="list" allowBlank="1" showErrorMessage="1" xr:uid="{00000000-0002-0000-0300-000005000000}">
          <x14:formula1>
            <xm:f>'NO MODIFICAR'!$F$4:$F$10</xm:f>
          </x14:formula1>
          <xm:sqref>AL6:AL10 AL12:AL15 AL17:AL28 AL30:AL38</xm:sqref>
        </x14:dataValidation>
        <x14:dataValidation type="list" allowBlank="1" showErrorMessage="1" xr:uid="{00000000-0002-0000-0300-000006000000}">
          <x14:formula1>
            <xm:f>'NO MODIFICAR'!$F$4:$F$8</xm:f>
          </x14:formula1>
          <xm:sqref>AL3:AL5 AL11 AK16 AL29</xm:sqref>
        </x14:dataValidation>
        <x14:dataValidation type="list" allowBlank="1" showErrorMessage="1" xr:uid="{00000000-0002-0000-0300-000007000000}">
          <x14:formula1>
            <xm:f>'NO MODIFICAR'!$E$3:$E$9</xm:f>
          </x14:formula1>
          <xm:sqref>L3:L177</xm:sqref>
        </x14:dataValidation>
        <x14:dataValidation type="list" allowBlank="1" showErrorMessage="1" xr:uid="{00000000-0002-0000-0300-000008000000}">
          <x14:formula1>
            <xm:f>'NO MODIFICAR'!$K$3:$K$5</xm:f>
          </x14:formula1>
          <xm:sqref>X3:Z15 W16:Y16 AC23:AE23 X17:Z24 X25:AA25 AC25:AE25 X29:Z30 X27:AE27 AC28:AD28 X28:AA28 X26:Z26 AC31:AD31 X31:AA31 X32:Z36 AC37:AD37 X37:AA37 X38:Z38</xm:sqref>
        </x14:dataValidation>
        <x14:dataValidation type="list" allowBlank="1" showErrorMessage="1" xr:uid="{00000000-0002-0000-0300-000009000000}">
          <x14:formula1>
            <xm:f>'NO MODIFICAR'!$N$3:$N$5</xm:f>
          </x14:formula1>
          <xm:sqref>AB3:AC15 AA16:AB16 AB17:AC22 AB23 AB24:AC24 AB25 AB29:AC30 AB28 AB26:AC26 AB31 AB32:AC36 AB37 AB38:AC38</xm:sqref>
        </x14:dataValidation>
        <x14:dataValidation type="list" allowBlank="1" showErrorMessage="1" xr:uid="{00000000-0002-0000-0300-00000A000000}">
          <x14:formula1>
            <xm:f>'NO MODIFICAR'!$C$4:$C$5</xm:f>
          </x14:formula1>
          <xm:sqref>I3:I38</xm:sqref>
        </x14:dataValidation>
        <x14:dataValidation type="list" allowBlank="1" showErrorMessage="1" xr:uid="{00000000-0002-0000-0300-00000B000000}">
          <x14:formula1>
            <xm:f>'NO MODIFICAR'!$B$3:$B$4</xm:f>
          </x14:formula1>
          <xm:sqref>B3:B38</xm:sqref>
        </x14:dataValidation>
        <x14:dataValidation type="list" allowBlank="1" showErrorMessage="1" xr:uid="{00000000-0002-0000-0300-00000C000000}">
          <x14:formula1>
            <xm:f>'NO MODIFICAR'!$D$4:$D$12</xm:f>
          </x14:formula1>
          <xm:sqref>P3:P10 P12:P38</xm:sqref>
        </x14:dataValidation>
        <x14:dataValidation type="list" allowBlank="1" showErrorMessage="1" xr:uid="{00000000-0002-0000-0300-00000D000000}">
          <x14:formula1>
            <xm:f>'NO MODIFICAR'!$R$3:$R$5</xm:f>
          </x14:formula1>
          <xm:sqref>AE3:AG15 AI3:AJ15 AD16:AF16 AH16:AJ16 AE17:AG22 AF23:AG23 AE24:AG24 AF25:AG25 AF27:AG27 AE28:AG38 AI17:AJ38 AE26:AG26</xm:sqref>
        </x14:dataValidation>
        <x14:dataValidation type="list" allowBlank="1" showErrorMessage="1" xr:uid="{00000000-0002-0000-0300-00000E000000}">
          <x14:formula1>
            <xm:f>'NO MODIFICAR'!$P$3:$P$7</xm:f>
          </x14:formula1>
          <xm:sqref>AD3:AD15 AC16 AD17:AD22 AD24 AD29:AD30 AD26 AD32:AD36 AD38</xm:sqref>
        </x14:dataValidation>
        <x14:dataValidation type="list" allowBlank="1" showErrorMessage="1" xr:uid="{00000000-0002-0000-0300-00000F000000}">
          <x14:formula1>
            <xm:f>'NO MODIFICAR'!$L$3:$L$5</xm:f>
          </x14:formula1>
          <xm:sqref>AA3:AA15 Z16 AA17:AA24 AA29:AA30 AA26 AA32:AA36 AA38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C79EE-34D2-4E27-BBBD-170F481A158C}">
  <dimension ref="A1:AO2"/>
  <sheetViews>
    <sheetView zoomScale="80" zoomScaleNormal="80" workbookViewId="0">
      <selection activeCell="N12" sqref="N12"/>
    </sheetView>
  </sheetViews>
  <sheetFormatPr baseColWidth="10" defaultRowHeight="15" x14ac:dyDescent="0.25"/>
  <cols>
    <col min="17" max="17" width="36.28515625" customWidth="1"/>
  </cols>
  <sheetData>
    <row r="1" spans="1:41" ht="42.75" customHeight="1" x14ac:dyDescent="0.25">
      <c r="A1" s="48">
        <v>1</v>
      </c>
      <c r="B1" s="11" t="s">
        <v>38</v>
      </c>
      <c r="C1" s="25">
        <v>45118</v>
      </c>
      <c r="D1" s="13">
        <f t="shared" ref="D1:D2" ca="1" si="0">DAYS360(C1,TODAY())</f>
        <v>20</v>
      </c>
      <c r="E1" s="17"/>
      <c r="F1" s="27" t="s">
        <v>128</v>
      </c>
      <c r="G1" s="27" t="s">
        <v>129</v>
      </c>
      <c r="H1" s="27" t="s">
        <v>130</v>
      </c>
      <c r="I1" s="17" t="s">
        <v>42</v>
      </c>
      <c r="J1" s="17">
        <v>76</v>
      </c>
      <c r="K1" s="38" t="s">
        <v>131</v>
      </c>
      <c r="L1" s="39" t="s">
        <v>72</v>
      </c>
      <c r="M1" s="13" t="s">
        <v>142</v>
      </c>
      <c r="N1" s="25">
        <v>17273</v>
      </c>
      <c r="O1" s="17">
        <v>200634562</v>
      </c>
      <c r="P1" s="17" t="s">
        <v>89</v>
      </c>
      <c r="Q1" s="93" t="s">
        <v>414</v>
      </c>
      <c r="R1" s="29" t="s">
        <v>133</v>
      </c>
      <c r="S1" s="17" t="s">
        <v>64</v>
      </c>
      <c r="T1" s="17" t="s">
        <v>48</v>
      </c>
      <c r="U1" s="13" t="s">
        <v>66</v>
      </c>
      <c r="V1" s="17">
        <v>996701243</v>
      </c>
      <c r="W1" s="17" t="s">
        <v>50</v>
      </c>
      <c r="X1" s="17" t="s">
        <v>51</v>
      </c>
      <c r="Y1" s="17" t="s">
        <v>51</v>
      </c>
      <c r="Z1" s="17" t="s">
        <v>51</v>
      </c>
      <c r="AA1" s="17" t="s">
        <v>51</v>
      </c>
      <c r="AB1" s="17" t="s">
        <v>51</v>
      </c>
      <c r="AC1" s="17" t="s">
        <v>51</v>
      </c>
      <c r="AD1" s="17" t="s">
        <v>51</v>
      </c>
      <c r="AE1" s="17" t="s">
        <v>54</v>
      </c>
      <c r="AF1" s="17" t="s">
        <v>54</v>
      </c>
      <c r="AG1" s="17" t="s">
        <v>54</v>
      </c>
      <c r="AH1" s="17" t="s">
        <v>55</v>
      </c>
      <c r="AI1" s="17" t="s">
        <v>54</v>
      </c>
      <c r="AJ1" s="17" t="s">
        <v>51</v>
      </c>
      <c r="AK1" s="17"/>
      <c r="AL1" s="17"/>
      <c r="AM1" s="17"/>
      <c r="AN1" s="18"/>
      <c r="AO1" s="18"/>
    </row>
    <row r="2" spans="1:41" ht="51.75" customHeight="1" x14ac:dyDescent="0.25">
      <c r="A2" s="48">
        <v>2</v>
      </c>
      <c r="B2" s="11" t="s">
        <v>38</v>
      </c>
      <c r="C2" s="89">
        <v>45129</v>
      </c>
      <c r="D2" s="17">
        <f t="shared" ca="1" si="0"/>
        <v>9</v>
      </c>
      <c r="E2" s="17"/>
      <c r="F2" s="92" t="s">
        <v>85</v>
      </c>
      <c r="G2" s="92" t="s">
        <v>207</v>
      </c>
      <c r="H2" s="92" t="s">
        <v>150</v>
      </c>
      <c r="I2" s="17" t="s">
        <v>59</v>
      </c>
      <c r="J2" s="17">
        <v>81</v>
      </c>
      <c r="K2" s="38" t="s">
        <v>396</v>
      </c>
      <c r="L2" s="39"/>
      <c r="M2" s="13" t="s">
        <v>142</v>
      </c>
      <c r="N2" s="89">
        <v>15629</v>
      </c>
      <c r="O2" s="17" t="s">
        <v>403</v>
      </c>
      <c r="P2" s="17" t="s">
        <v>89</v>
      </c>
      <c r="Q2" s="93" t="s">
        <v>414</v>
      </c>
      <c r="R2" s="29" t="s">
        <v>401</v>
      </c>
      <c r="S2" s="17" t="s">
        <v>64</v>
      </c>
      <c r="T2" s="17" t="s">
        <v>48</v>
      </c>
      <c r="U2" s="13" t="s">
        <v>66</v>
      </c>
      <c r="V2" s="17">
        <v>993576865</v>
      </c>
      <c r="W2" s="17" t="s">
        <v>50</v>
      </c>
      <c r="X2" s="17" t="s">
        <v>51</v>
      </c>
      <c r="Y2" s="17" t="s">
        <v>51</v>
      </c>
      <c r="Z2" s="17" t="s">
        <v>51</v>
      </c>
      <c r="AA2" s="17" t="s">
        <v>51</v>
      </c>
      <c r="AB2" s="17" t="s">
        <v>51</v>
      </c>
      <c r="AC2" s="17" t="s">
        <v>51</v>
      </c>
      <c r="AD2" s="29" t="s">
        <v>51</v>
      </c>
      <c r="AE2" s="17" t="s">
        <v>54</v>
      </c>
      <c r="AF2" s="17" t="s">
        <v>54</v>
      </c>
      <c r="AG2" s="17" t="s">
        <v>76</v>
      </c>
      <c r="AH2" s="17" t="s">
        <v>55</v>
      </c>
      <c r="AI2" s="17" t="s">
        <v>54</v>
      </c>
      <c r="AJ2" s="17" t="s">
        <v>76</v>
      </c>
      <c r="AK2" s="17"/>
      <c r="AL2" s="17"/>
      <c r="AM2" s="17"/>
      <c r="AN2" s="18"/>
      <c r="AO2" s="1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ErrorMessage="1" xr:uid="{F052D001-DE5D-4C08-9E07-26C00C008A95}">
          <x14:formula1>
            <xm:f>'NO MODIFICAR'!$R$3:$R$5</xm:f>
          </x14:formula1>
          <xm:sqref>AE1:AG2 AI1:AJ2</xm:sqref>
        </x14:dataValidation>
        <x14:dataValidation type="list" allowBlank="1" showErrorMessage="1" xr:uid="{F239DC17-CD23-4B76-BAA5-A3706A8654A2}">
          <x14:formula1>
            <xm:f>'NO MODIFICAR'!$D$4:$D$12</xm:f>
          </x14:formula1>
          <xm:sqref>P1:P2</xm:sqref>
        </x14:dataValidation>
        <x14:dataValidation type="list" allowBlank="1" showErrorMessage="1" xr:uid="{186AD6C6-A0EC-4E77-A4EA-662E6FABAE73}">
          <x14:formula1>
            <xm:f>'NO MODIFICAR'!$B$3:$B$4</xm:f>
          </x14:formula1>
          <xm:sqref>B1:B2</xm:sqref>
        </x14:dataValidation>
        <x14:dataValidation type="list" allowBlank="1" showErrorMessage="1" xr:uid="{0118C010-1C83-4538-9596-FD886C4E1691}">
          <x14:formula1>
            <xm:f>'NO MODIFICAR'!$C$4:$C$5</xm:f>
          </x14:formula1>
          <xm:sqref>I1:I2</xm:sqref>
        </x14:dataValidation>
        <x14:dataValidation type="list" allowBlank="1" showErrorMessage="1" xr:uid="{69927C28-E1D8-4BDC-84BF-93FD6783403A}">
          <x14:formula1>
            <xm:f>'NO MODIFICAR'!$K$3:$K$5</xm:f>
          </x14:formula1>
          <xm:sqref>X1:AD1 X2:Z2</xm:sqref>
        </x14:dataValidation>
        <x14:dataValidation type="list" allowBlank="1" showErrorMessage="1" xr:uid="{9556EAE0-1431-4F07-B6DA-17936654F097}">
          <x14:formula1>
            <xm:f>'NO MODIFICAR'!$E$3:$E$9</xm:f>
          </x14:formula1>
          <xm:sqref>L1:L2</xm:sqref>
        </x14:dataValidation>
        <x14:dataValidation type="list" allowBlank="1" showErrorMessage="1" xr:uid="{F06ECE74-FA16-43B9-BBB9-61F6F3220F90}">
          <x14:formula1>
            <xm:f>'NO MODIFICAR'!$F$4:$F$10</xm:f>
          </x14:formula1>
          <xm:sqref>AL1:AL2</xm:sqref>
        </x14:dataValidation>
        <x14:dataValidation type="list" allowBlank="1" showErrorMessage="1" xr:uid="{08655162-FAB1-4B9F-93A9-8FB9D2651B0F}">
          <x14:formula1>
            <xm:f>'NO MODIFICAR'!$H$3:$H$9</xm:f>
          </x14:formula1>
          <xm:sqref>M1:M2</xm:sqref>
        </x14:dataValidation>
        <x14:dataValidation type="list" allowBlank="1" showErrorMessage="1" xr:uid="{D9E59802-621B-40A8-B1F9-6471FCB86783}">
          <x14:formula1>
            <xm:f>'NO MODIFICAR'!$S$3:$S$6</xm:f>
          </x14:formula1>
          <xm:sqref>AH1:AH2</xm:sqref>
        </x14:dataValidation>
        <x14:dataValidation type="list" allowBlank="1" showErrorMessage="1" xr:uid="{CECF0CD9-BBCA-4083-8304-7B2C0E212E3A}">
          <x14:formula1>
            <xm:f>'NO MODIFICAR'!$I$3:$I$5</xm:f>
          </x14:formula1>
          <xm:sqref>U1:U2</xm:sqref>
        </x14:dataValidation>
        <x14:dataValidation type="list" allowBlank="1" showErrorMessage="1" xr:uid="{F8FC83DE-582F-4CE4-8906-4B9C8AEBB610}">
          <x14:formula1>
            <xm:f>'NO MODIFICAR'!$L$3:$L$5</xm:f>
          </x14:formula1>
          <xm:sqref>AA2</xm:sqref>
        </x14:dataValidation>
        <x14:dataValidation type="list" allowBlank="1" showErrorMessage="1" xr:uid="{F2688BAD-40F6-4830-991D-D9ED7793669E}">
          <x14:formula1>
            <xm:f>'NO MODIFICAR'!$P$3:$P$7</xm:f>
          </x14:formula1>
          <xm:sqref>AD2</xm:sqref>
        </x14:dataValidation>
        <x14:dataValidation type="list" allowBlank="1" showErrorMessage="1" xr:uid="{C287407A-C82E-45B1-A8EF-9A358766DD10}">
          <x14:formula1>
            <xm:f>'NO MODIFICAR'!$N$3:$N$5</xm:f>
          </x14:formula1>
          <xm:sqref>AB2:AC2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S1000"/>
  <sheetViews>
    <sheetView workbookViewId="0"/>
  </sheetViews>
  <sheetFormatPr baseColWidth="10" defaultColWidth="14.42578125" defaultRowHeight="15" customHeight="1" x14ac:dyDescent="0.25"/>
  <cols>
    <col min="1" max="4" width="10.7109375" customWidth="1"/>
    <col min="5" max="5" width="18.42578125" customWidth="1"/>
    <col min="6" max="6" width="15.5703125" customWidth="1"/>
    <col min="7" max="8" width="10.7109375" customWidth="1"/>
    <col min="9" max="9" width="17.28515625" customWidth="1"/>
    <col min="10" max="10" width="15" customWidth="1"/>
    <col min="11" max="26" width="10.7109375" customWidth="1"/>
  </cols>
  <sheetData>
    <row r="1" spans="2:19" x14ac:dyDescent="0.25">
      <c r="B1" s="72" t="s">
        <v>1</v>
      </c>
      <c r="C1" s="72" t="s">
        <v>345</v>
      </c>
      <c r="D1" s="72" t="s">
        <v>346</v>
      </c>
      <c r="E1" s="72" t="s">
        <v>347</v>
      </c>
      <c r="F1" s="72" t="s">
        <v>348</v>
      </c>
      <c r="H1" s="72" t="s">
        <v>349</v>
      </c>
      <c r="I1" s="72" t="s">
        <v>350</v>
      </c>
      <c r="K1" s="72" t="s">
        <v>351</v>
      </c>
      <c r="L1" s="72" t="s">
        <v>26</v>
      </c>
      <c r="N1" s="72" t="s">
        <v>352</v>
      </c>
      <c r="P1" s="72" t="s">
        <v>353</v>
      </c>
      <c r="R1" s="72" t="s">
        <v>30</v>
      </c>
      <c r="S1" s="72" t="s">
        <v>354</v>
      </c>
    </row>
    <row r="3" spans="2:19" x14ac:dyDescent="0.25">
      <c r="B3" s="72" t="s">
        <v>38</v>
      </c>
      <c r="D3" s="72" t="s">
        <v>355</v>
      </c>
      <c r="E3" s="1" t="s">
        <v>72</v>
      </c>
      <c r="H3" s="72" t="s">
        <v>173</v>
      </c>
      <c r="I3" s="1" t="s">
        <v>49</v>
      </c>
      <c r="K3" s="72" t="s">
        <v>92</v>
      </c>
      <c r="L3" s="72" t="s">
        <v>114</v>
      </c>
      <c r="N3" s="72" t="s">
        <v>54</v>
      </c>
      <c r="P3" s="72" t="s">
        <v>178</v>
      </c>
      <c r="R3" s="72" t="s">
        <v>54</v>
      </c>
      <c r="S3" s="72" t="s">
        <v>55</v>
      </c>
    </row>
    <row r="4" spans="2:19" x14ac:dyDescent="0.25">
      <c r="B4" s="72" t="s">
        <v>172</v>
      </c>
      <c r="C4" s="72" t="s">
        <v>42</v>
      </c>
      <c r="D4" s="72" t="s">
        <v>73</v>
      </c>
      <c r="E4" s="79" t="s">
        <v>81</v>
      </c>
      <c r="F4" s="72" t="s">
        <v>185</v>
      </c>
      <c r="H4" s="72" t="s">
        <v>142</v>
      </c>
      <c r="I4" s="72" t="s">
        <v>66</v>
      </c>
      <c r="K4" s="72" t="s">
        <v>52</v>
      </c>
      <c r="L4" s="72" t="s">
        <v>53</v>
      </c>
      <c r="N4" s="72" t="s">
        <v>76</v>
      </c>
      <c r="P4" s="72" t="s">
        <v>193</v>
      </c>
      <c r="R4" s="72" t="s">
        <v>76</v>
      </c>
      <c r="S4" s="72" t="s">
        <v>108</v>
      </c>
    </row>
    <row r="5" spans="2:19" x14ac:dyDescent="0.25">
      <c r="C5" s="72" t="s">
        <v>59</v>
      </c>
      <c r="D5" s="72" t="s">
        <v>356</v>
      </c>
      <c r="E5" s="79" t="s">
        <v>357</v>
      </c>
      <c r="F5" s="72" t="s">
        <v>358</v>
      </c>
      <c r="H5" s="72" t="s">
        <v>177</v>
      </c>
      <c r="K5" s="72" t="s">
        <v>51</v>
      </c>
      <c r="L5" s="72" t="s">
        <v>51</v>
      </c>
      <c r="N5" s="72" t="s">
        <v>51</v>
      </c>
      <c r="P5" s="72" t="s">
        <v>359</v>
      </c>
      <c r="R5" s="72" t="s">
        <v>51</v>
      </c>
      <c r="S5" s="72" t="s">
        <v>93</v>
      </c>
    </row>
    <row r="6" spans="2:19" x14ac:dyDescent="0.25">
      <c r="D6" s="72" t="s">
        <v>360</v>
      </c>
      <c r="E6" s="79" t="s">
        <v>361</v>
      </c>
      <c r="F6" s="72" t="s">
        <v>275</v>
      </c>
      <c r="H6" s="72" t="s">
        <v>311</v>
      </c>
      <c r="P6" s="72" t="s">
        <v>107</v>
      </c>
      <c r="S6" s="72" t="s">
        <v>51</v>
      </c>
    </row>
    <row r="7" spans="2:19" x14ac:dyDescent="0.25">
      <c r="D7" s="72" t="s">
        <v>89</v>
      </c>
      <c r="E7" s="79" t="s">
        <v>293</v>
      </c>
      <c r="F7" s="72" t="s">
        <v>175</v>
      </c>
      <c r="H7" s="72" t="s">
        <v>44</v>
      </c>
      <c r="P7" s="72" t="s">
        <v>51</v>
      </c>
    </row>
    <row r="8" spans="2:19" x14ac:dyDescent="0.25">
      <c r="D8" s="72" t="s">
        <v>61</v>
      </c>
      <c r="E8" s="79" t="s">
        <v>51</v>
      </c>
      <c r="F8" s="72" t="s">
        <v>362</v>
      </c>
      <c r="H8" s="72" t="s">
        <v>271</v>
      </c>
    </row>
    <row r="9" spans="2:19" x14ac:dyDescent="0.25">
      <c r="D9" s="72" t="s">
        <v>45</v>
      </c>
      <c r="E9" s="79"/>
      <c r="F9" s="72" t="s">
        <v>363</v>
      </c>
    </row>
    <row r="10" spans="2:19" x14ac:dyDescent="0.25">
      <c r="D10" s="72" t="s">
        <v>364</v>
      </c>
      <c r="E10" s="79"/>
    </row>
    <row r="11" spans="2:19" x14ac:dyDescent="0.25">
      <c r="D11" s="72" t="s">
        <v>259</v>
      </c>
      <c r="E11" s="79"/>
    </row>
    <row r="12" spans="2:19" x14ac:dyDescent="0.25">
      <c r="D12" s="72" t="s">
        <v>365</v>
      </c>
      <c r="E12" s="79"/>
    </row>
    <row r="13" spans="2:19" x14ac:dyDescent="0.25">
      <c r="E13" s="79"/>
    </row>
    <row r="14" spans="2:19" x14ac:dyDescent="0.25">
      <c r="E14" s="79"/>
    </row>
    <row r="15" spans="2:19" x14ac:dyDescent="0.25">
      <c r="E15" s="79"/>
    </row>
    <row r="16" spans="2:19" x14ac:dyDescent="0.25">
      <c r="E16" s="79"/>
    </row>
    <row r="17" spans="5:5" x14ac:dyDescent="0.25">
      <c r="E17" s="79"/>
    </row>
    <row r="18" spans="5:5" x14ac:dyDescent="0.25">
      <c r="E18" s="79"/>
    </row>
    <row r="19" spans="5:5" x14ac:dyDescent="0.25">
      <c r="E19" s="79"/>
    </row>
    <row r="21" spans="5:5" ht="15.75" customHeight="1" x14ac:dyDescent="0.25"/>
    <row r="22" spans="5:5" ht="15.75" customHeight="1" x14ac:dyDescent="0.25"/>
    <row r="23" spans="5:5" ht="15.75" customHeight="1" x14ac:dyDescent="0.25"/>
    <row r="24" spans="5:5" ht="15.75" customHeight="1" x14ac:dyDescent="0.25"/>
    <row r="25" spans="5:5" ht="15.75" customHeight="1" x14ac:dyDescent="0.25"/>
    <row r="26" spans="5:5" ht="15.75" customHeight="1" x14ac:dyDescent="0.25"/>
    <row r="27" spans="5:5" ht="15.75" customHeight="1" x14ac:dyDescent="0.25"/>
    <row r="28" spans="5:5" ht="15.75" customHeight="1" x14ac:dyDescent="0.25"/>
    <row r="29" spans="5:5" ht="15.75" customHeight="1" x14ac:dyDescent="0.25"/>
    <row r="30" spans="5:5" ht="15.75" customHeight="1" x14ac:dyDescent="0.25"/>
    <row r="31" spans="5:5" ht="15.75" customHeight="1" x14ac:dyDescent="0.25"/>
    <row r="32" spans="5: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ACTIVOS</vt:lpstr>
      <vt:lpstr>HISTORICO</vt:lpstr>
      <vt:lpstr>EGRESOS JUNIO 2023</vt:lpstr>
      <vt:lpstr>EGRESOS JULIO 23</vt:lpstr>
      <vt:lpstr>PCTE ACV H</vt:lpstr>
      <vt:lpstr>NO MODIFICAR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Anastasia Davison A. (HSC)</dc:creator>
  <cp:lastModifiedBy>Anastasia Davison A. (HSC)</cp:lastModifiedBy>
  <dcterms:created xsi:type="dcterms:W3CDTF">2023-06-24T16:22:35Z</dcterms:created>
  <dcterms:modified xsi:type="dcterms:W3CDTF">2023-07-31T20:27:47Z</dcterms:modified>
</cp:coreProperties>
</file>