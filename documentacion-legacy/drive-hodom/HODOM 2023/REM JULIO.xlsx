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19071370-9\Downloads\"/>
    </mc:Choice>
  </mc:AlternateContent>
  <xr:revisionPtr revIDLastSave="0" documentId="13_ncr:1_{D1BF1CE0-E395-4571-A08F-BD5780F7516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m A21" sheetId="1" r:id="rId1"/>
    <sheet name="Rem BS" sheetId="2" r:id="rId2"/>
  </sheets>
  <externalReferences>
    <externalReference r:id="rId3"/>
  </externalReferences>
  <calcPr calcId="191029"/>
  <extLst>
    <ext uri="GoogleSheetsCustomDataVersion2">
      <go:sheetsCustomData xmlns:go="http://customooxmlschemas.google.com/" r:id="rId7" roundtripDataChecksum="+uOqk5bB+NhvwaxXlryt9jYpuR+XbNy+y/AH4LhLz+M="/>
    </ext>
  </extLst>
</workbook>
</file>

<file path=xl/calcChain.xml><?xml version="1.0" encoding="utf-8"?>
<calcChain xmlns="http://schemas.openxmlformats.org/spreadsheetml/2006/main">
  <c r="A144" i="1" l="1"/>
  <c r="CJ89" i="1"/>
  <c r="CG89" i="1"/>
  <c r="CD89" i="1"/>
  <c r="CA89" i="1"/>
  <c r="B89" i="1"/>
  <c r="CH89" i="1" s="1"/>
  <c r="CB89" i="1" s="1"/>
  <c r="B88" i="1"/>
  <c r="CJ88" i="1" s="1"/>
  <c r="CD88" i="1" s="1"/>
  <c r="G84" i="1"/>
  <c r="F84" i="1"/>
  <c r="E84" i="1"/>
  <c r="D84" i="1"/>
  <c r="C84" i="1"/>
  <c r="B83" i="1"/>
  <c r="CH83" i="1" s="1"/>
  <c r="CA83" i="1" s="1"/>
  <c r="H83" i="1" s="1"/>
  <c r="B82" i="1"/>
  <c r="CH82" i="1" s="1"/>
  <c r="CA82" i="1" s="1"/>
  <c r="H82" i="1" s="1"/>
  <c r="B81" i="1"/>
  <c r="CH81" i="1" s="1"/>
  <c r="CA81" i="1" s="1"/>
  <c r="H81" i="1" s="1"/>
  <c r="B80" i="1"/>
  <c r="CH80" i="1" s="1"/>
  <c r="CA80" i="1" s="1"/>
  <c r="H80" i="1" s="1"/>
  <c r="B79" i="1"/>
  <c r="CH79" i="1" s="1"/>
  <c r="CA79" i="1" s="1"/>
  <c r="H79" i="1" s="1"/>
  <c r="B78" i="1"/>
  <c r="CH78" i="1" s="1"/>
  <c r="CA78" i="1" s="1"/>
  <c r="H78" i="1" s="1"/>
  <c r="B77" i="1"/>
  <c r="B84" i="1" s="1"/>
  <c r="CG84" i="1" s="1"/>
  <c r="CA84" i="1" s="1"/>
  <c r="H84" i="1" s="1"/>
  <c r="I73" i="1"/>
  <c r="H73" i="1"/>
  <c r="G73" i="1"/>
  <c r="F73" i="1"/>
  <c r="E73" i="1"/>
  <c r="D73" i="1"/>
  <c r="C73" i="1"/>
  <c r="B73" i="1"/>
  <c r="CG71" i="1"/>
  <c r="CA71" i="1" s="1"/>
  <c r="J71" i="1" s="1"/>
  <c r="CG70" i="1"/>
  <c r="CA70" i="1" s="1"/>
  <c r="J70" i="1" s="1"/>
  <c r="CG69" i="1"/>
  <c r="CA69" i="1" s="1"/>
  <c r="J69" i="1" s="1"/>
  <c r="CG68" i="1"/>
  <c r="CA68" i="1"/>
  <c r="J68" i="1" s="1"/>
  <c r="CG67" i="1"/>
  <c r="CA67" i="1" s="1"/>
  <c r="J67" i="1" s="1"/>
  <c r="CG66" i="1"/>
  <c r="CA66" i="1" s="1"/>
  <c r="J66" i="1" s="1"/>
  <c r="CG65" i="1"/>
  <c r="CA65" i="1" s="1"/>
  <c r="J65" i="1" s="1"/>
  <c r="CG64" i="1"/>
  <c r="CA64" i="1"/>
  <c r="J64" i="1" s="1"/>
  <c r="CG63" i="1"/>
  <c r="CA63" i="1" s="1"/>
  <c r="J63" i="1" s="1"/>
  <c r="CG62" i="1"/>
  <c r="CA62" i="1" s="1"/>
  <c r="J62" i="1" s="1"/>
  <c r="CG61" i="1"/>
  <c r="CA61" i="1" s="1"/>
  <c r="J61" i="1" s="1"/>
  <c r="CG60" i="1"/>
  <c r="CA60" i="1"/>
  <c r="J60" i="1" s="1"/>
  <c r="J55" i="1"/>
  <c r="C55" i="1"/>
  <c r="J54" i="1"/>
  <c r="C54" i="1"/>
  <c r="J53" i="1"/>
  <c r="C53" i="1"/>
  <c r="J52" i="1"/>
  <c r="C52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J51" i="1" s="1"/>
  <c r="C51" i="1"/>
  <c r="E48" i="1"/>
  <c r="D48" i="1"/>
  <c r="C48" i="1"/>
  <c r="B48" i="1"/>
  <c r="B39" i="1"/>
  <c r="B38" i="1"/>
  <c r="B37" i="1"/>
  <c r="CG18" i="1"/>
  <c r="CA18" i="1"/>
  <c r="M18" i="1" s="1"/>
  <c r="C17" i="1"/>
  <c r="CG17" i="1" s="1"/>
  <c r="CA17" i="1" s="1"/>
  <c r="M17" i="1" s="1"/>
  <c r="C16" i="1"/>
  <c r="CG16" i="1" s="1"/>
  <c r="CA16" i="1" s="1"/>
  <c r="M16" i="1" s="1"/>
  <c r="CG15" i="1"/>
  <c r="CA15" i="1" s="1"/>
  <c r="M15" i="1" s="1"/>
  <c r="CG14" i="1"/>
  <c r="CA14" i="1" s="1"/>
  <c r="M14" i="1" s="1"/>
  <c r="CG13" i="1"/>
  <c r="CA13" i="1" s="1"/>
  <c r="M13" i="1" s="1"/>
  <c r="CG12" i="1"/>
  <c r="B144" i="1" s="1"/>
  <c r="CA12" i="1"/>
  <c r="M12" i="1" s="1"/>
  <c r="A5" i="1"/>
  <c r="A4" i="1"/>
  <c r="A3" i="1"/>
  <c r="A2" i="1"/>
  <c r="CH77" i="1" l="1"/>
  <c r="CA77" i="1" s="1"/>
  <c r="H77" i="1" s="1"/>
  <c r="CG88" i="1"/>
  <c r="CA88" i="1" s="1"/>
  <c r="H88" i="1" s="1"/>
  <c r="CI89" i="1"/>
  <c r="CC89" i="1" s="1"/>
  <c r="H89" i="1" s="1"/>
  <c r="CI88" i="1"/>
  <c r="CC88" i="1" s="1"/>
  <c r="CH88" i="1"/>
  <c r="CB88" i="1" s="1"/>
</calcChain>
</file>

<file path=xl/sharedStrings.xml><?xml version="1.0" encoding="utf-8"?>
<sst xmlns="http://schemas.openxmlformats.org/spreadsheetml/2006/main" count="182" uniqueCount="155">
  <si>
    <t>SERVICIO DE SALUD</t>
  </si>
  <si>
    <t>REM-21.   QUIRÓFANOS Y OTROS RECURSOS HOSPITALARIOS</t>
  </si>
  <si>
    <t xml:space="preserve">SECCIÓN C:  HOSPITALIZACIÓN DOMICILIARIA </t>
  </si>
  <si>
    <t>SECCIÓN C.1:  PERSONAS ATENDIDAS EN EL PROGRAMA</t>
  </si>
  <si>
    <t>COMPONENTES</t>
  </si>
  <si>
    <t>TOTAL</t>
  </si>
  <si>
    <t>EDAD</t>
  </si>
  <si>
    <t>ORIGEN DE LA DERIVACIÓN</t>
  </si>
  <si>
    <t>Menores de 15 años</t>
  </si>
  <si>
    <t>15 a 19 años</t>
  </si>
  <si>
    <t>20 y más años</t>
  </si>
  <si>
    <t>APS</t>
  </si>
  <si>
    <t>Urgencia</t>
  </si>
  <si>
    <t>Hospitalización</t>
  </si>
  <si>
    <t>Ambulatorio</t>
  </si>
  <si>
    <t>Ley de Urgencia</t>
  </si>
  <si>
    <t>UGCC</t>
  </si>
  <si>
    <t>INGRESOS</t>
  </si>
  <si>
    <t>PERSONAS ATENDIDAS</t>
  </si>
  <si>
    <t>DÍAS PERSONAS ATENDIDAS</t>
  </si>
  <si>
    <t>ALTAS</t>
  </si>
  <si>
    <t>FALLECIDOS</t>
  </si>
  <si>
    <t>Esperados</t>
  </si>
  <si>
    <t xml:space="preserve">No esperados </t>
  </si>
  <si>
    <t>REINGRESOS A HOSPITALIZACIÓN TRADICIONAL</t>
  </si>
  <si>
    <t xml:space="preserve">SECCIÓN C.2:  VISITAS REALIZADAS </t>
  </si>
  <si>
    <t>COMPONENTE</t>
  </si>
  <si>
    <t>Total</t>
  </si>
  <si>
    <t>MÉDICO</t>
  </si>
  <si>
    <t>ENFERMERA</t>
  </si>
  <si>
    <t>TÉCNICO PARAMÉDICO</t>
  </si>
  <si>
    <t>MATRONA</t>
  </si>
  <si>
    <t>SIN PROFESIONL</t>
  </si>
  <si>
    <t>KINESIÓLOGO</t>
  </si>
  <si>
    <t>PSICÓLOGO</t>
  </si>
  <si>
    <t>SIN PROFESIONAL</t>
  </si>
  <si>
    <t>FONOAUDIÓLOGO</t>
  </si>
  <si>
    <t>TRABAJADOR SOCIAL</t>
  </si>
  <si>
    <t>TERAPEUTA OCUPACIONAL</t>
  </si>
  <si>
    <t>SECCIÓN C.3:  CUPOS DISPONIBLES EN UNIDAD DE HOSPITALIZACIÓN DOMICILIARIA</t>
  </si>
  <si>
    <t>N° de Cupos</t>
  </si>
  <si>
    <t>N° de cupos CAM INV Adicionales</t>
  </si>
  <si>
    <t>N° de cupos Campaña de Invierno</t>
  </si>
  <si>
    <t>NÚMERO CUPOS PROGRAMADOS</t>
  </si>
  <si>
    <t>NÚMERO CUPOS UTILIZADOS</t>
  </si>
  <si>
    <t>NÚMERO DE CUPOS DISPONIBLES</t>
  </si>
  <si>
    <t>SECCIÓN C.4: ASISTENCIA VENTILATORIA Y OXÍGENO EN DOMICILIO</t>
  </si>
  <si>
    <t>TIPO DE ESTRATEGIA</t>
  </si>
  <si>
    <t>0-9 años</t>
  </si>
  <si>
    <t>10 a 19 años</t>
  </si>
  <si>
    <t>Estrategia de Asistencia Ventilatoria Invasiva en Domicilio</t>
  </si>
  <si>
    <t>Estrategia de Asistencia Ventilatoria no Invasiva en Domicilio</t>
  </si>
  <si>
    <t>Estrategia Oxígeno Domiciliario para pacientes Crónicos</t>
  </si>
  <si>
    <t>SECCIÓN C.5: INGRESOS Y EGRESOS AL PROGRAMA</t>
  </si>
  <si>
    <t>ACTIVIDAD</t>
  </si>
  <si>
    <t xml:space="preserve">Número de ingresos </t>
  </si>
  <si>
    <t xml:space="preserve">Número de egresos </t>
  </si>
  <si>
    <t>Número de personas activas</t>
  </si>
  <si>
    <t>Número de controles médicos</t>
  </si>
  <si>
    <t>ASISTENCIA VENTILATORIA INVASIVA INFANTIL (AVI)</t>
  </si>
  <si>
    <t>ASISTENCIA VENTILATORIA INVASIVA DEL ADULTO (AVIA)</t>
  </si>
  <si>
    <t>ASISTENCIA VENTILATORIA NO INVASIVA INFANTIL (AVNI)</t>
  </si>
  <si>
    <t>ASISTENCIA VENTILATORIA NO INVASIVA ADULTO (AVNIA)</t>
  </si>
  <si>
    <t>OXIGENOTERAPIA AMBULATORIO CRÓNICO RESPIRATORIO INFANTIL</t>
  </si>
  <si>
    <t xml:space="preserve">OXIGENOTERAPIA AMBULATORIO CRÓNICO RESPIRATORIO ADULTO </t>
  </si>
  <si>
    <t>SECCIÓN D: APOYO PSICOSOCIAL EN NIÑOS, NIÑAS Y ADOLESCENTES HOSPITALIZADOS</t>
  </si>
  <si>
    <t>CONCEPTO</t>
  </si>
  <si>
    <t>INTERVENCIÓN</t>
  </si>
  <si>
    <t>Hasta 28 días</t>
  </si>
  <si>
    <t xml:space="preserve">29 días hasta menor de 1 año </t>
  </si>
  <si>
    <t>1 a 4 años</t>
  </si>
  <si>
    <t>5 a 9 años</t>
  </si>
  <si>
    <t>10 a 14 años</t>
  </si>
  <si>
    <t>TOTAL DE EGRESOS (en el período)</t>
  </si>
  <si>
    <t>EGRESADOS CON APOYO PSICOSOCIAL (en el período)</t>
  </si>
  <si>
    <t>Intervención Psicosocial</t>
  </si>
  <si>
    <t>Estimulación del Desarrollo</t>
  </si>
  <si>
    <t>Nº DE ATENCIONES (en el mes)</t>
  </si>
  <si>
    <t>SECCIÓN E: GESTIÓN DE PROCESOS DE PACIENTES QUIRÚRGICOS CON CIRUGÍA ELECTIVA</t>
  </si>
  <si>
    <t>ESPECIALIDAD</t>
  </si>
  <si>
    <t>DÍAS DE ESTADA PREQUIRÚRGICOS</t>
  </si>
  <si>
    <t>PACIENTES INTERVENIDOS</t>
  </si>
  <si>
    <t>PROGRAMACIÓN DE TABLA QUIRÚRGICA (N° DE PACIENTES)</t>
  </si>
  <si>
    <t>PACIENTES PROGRAMADOS</t>
  </si>
  <si>
    <t>PACIENTES SUSPENDIDOS</t>
  </si>
  <si>
    <t>15 años y más</t>
  </si>
  <si>
    <t>CIRUGÍA GENERAL</t>
  </si>
  <si>
    <t>CIRUGÍA CARDIOVASCULAR</t>
  </si>
  <si>
    <t>CIRUGÍA MÁXILOFACIAL</t>
  </si>
  <si>
    <t>CIRUGÍA TÓRAX</t>
  </si>
  <si>
    <t>TRAUMATOLOGÍA</t>
  </si>
  <si>
    <t>NEUROCIRUGÍA</t>
  </si>
  <si>
    <t>OTORRINOLARINGOLOGÍA</t>
  </si>
  <si>
    <t>OFTALMOLOGÍA</t>
  </si>
  <si>
    <t>OBSTETRICIA Y GINECOLOGÍA</t>
  </si>
  <si>
    <t>GINECOLOGÍA</t>
  </si>
  <si>
    <t>UROLOGÍA</t>
  </si>
  <si>
    <t>RESTO ESPECIALIDADES</t>
  </si>
  <si>
    <t>ODONTOLOGÍA</t>
  </si>
  <si>
    <t>SECCIÓN F: CAUSAS DE SUSPENSIÓN DE CIRUGÍAS ELECTIVAS</t>
  </si>
  <si>
    <t xml:space="preserve">CAUSAS DE SUSPENSIÓN ATRIBUIBLES A:
</t>
  </si>
  <si>
    <t>Nº DE PERSONAS</t>
  </si>
  <si>
    <t>TOTALES</t>
  </si>
  <si>
    <t>Beneficiarios MAI</t>
  </si>
  <si>
    <t>Beneficiarios MLE</t>
  </si>
  <si>
    <t>Otros</t>
  </si>
  <si>
    <t>PACIENTE</t>
  </si>
  <si>
    <t>ADMINISTRATIVAS</t>
  </si>
  <si>
    <t>UNIDAD DE APOYO CLÍNICO</t>
  </si>
  <si>
    <t>EQUIPO QUIRÚRGICO</t>
  </si>
  <si>
    <t>INFRAESTRUCTURA</t>
  </si>
  <si>
    <t>EMERGENCIAS</t>
  </si>
  <si>
    <t>GREMIALES</t>
  </si>
  <si>
    <t>SECCIÓN G: ESTERILIZACIONES QUIRÚRGICAS</t>
  </si>
  <si>
    <t>SEXO</t>
  </si>
  <si>
    <t xml:space="preserve">TOTAL      </t>
  </si>
  <si>
    <t>EDAD (en años)</t>
  </si>
  <si>
    <t>Trans</t>
  </si>
  <si>
    <t>Menor 
de 20 años</t>
  </si>
  <si>
    <t>20 - 34 años</t>
  </si>
  <si>
    <t>35 y más años</t>
  </si>
  <si>
    <t>Masculino</t>
  </si>
  <si>
    <t>Femenino</t>
  </si>
  <si>
    <t>MUJER</t>
  </si>
  <si>
    <t>HOMBRE</t>
  </si>
  <si>
    <t>ACTIVIDADES</t>
  </si>
  <si>
    <t>PROCEDENCIA</t>
  </si>
  <si>
    <t>PRODUCCION INTRA HOSPITAL</t>
  </si>
  <si>
    <t>OPERATIVO</t>
  </si>
  <si>
    <t>COMPRAS REALIZADAS</t>
  </si>
  <si>
    <t>VENTAS DE SERVICIOS</t>
  </si>
  <si>
    <t>TRANSFERENCIA
2022</t>
  </si>
  <si>
    <t>TOTAL FACTURADO</t>
  </si>
  <si>
    <t xml:space="preserve"> </t>
  </si>
  <si>
    <t>CÓDIGO</t>
  </si>
  <si>
    <t>GLOSA</t>
  </si>
  <si>
    <t>TOTAL BENEFI-CIARIOS</t>
  </si>
  <si>
    <t>BENEFICIARIOS</t>
  </si>
  <si>
    <t>NO BENEFI-CIARIOS</t>
  </si>
  <si>
    <t>MAI</t>
  </si>
  <si>
    <t>MLE</t>
  </si>
  <si>
    <t>ATENCION CERRADA</t>
  </si>
  <si>
    <t>ATENCION ABIERTA</t>
  </si>
  <si>
    <t>EMERGENCIA</t>
  </si>
  <si>
    <t>POR 
HONO-
RARIOS</t>
  </si>
  <si>
    <t>POR CONVENIOS</t>
  </si>
  <si>
    <t>POR
CONSULTO-
RES DE 
LLAMADA</t>
  </si>
  <si>
    <t xml:space="preserve">AL SISTEMA </t>
  </si>
  <si>
    <t>EXTRA-SISTEMA</t>
  </si>
  <si>
    <t>0201501</t>
  </si>
  <si>
    <t>Dia Cama Hospitalizacion Domiciliaria Cuidados Básicos</t>
  </si>
  <si>
    <t>0201502</t>
  </si>
  <si>
    <t xml:space="preserve">Dia Cama Hospitalizacion Domiciliaria Cuidados Medios </t>
  </si>
  <si>
    <t>0201503</t>
  </si>
  <si>
    <t xml:space="preserve">Dia Cama Hospitalizacion Domiciliaria Cuidados Alta Complejidad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</si>
</sst>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sz val="8"/>
      <color theme="1"/>
      <name val="Verdana"/>
    </font>
    <font>
      <sz val="11"/>
      <color theme="1"/>
      <name val="Verdana"/>
    </font>
    <font>
      <b/>
      <sz val="12"/>
      <color theme="1"/>
      <name val="Verdana"/>
    </font>
    <font>
      <sz val="11"/>
      <name val="Calibri"/>
    </font>
    <font>
      <sz val="8"/>
      <color theme="1"/>
      <name val="Verdana"/>
    </font>
    <font>
      <b/>
      <sz val="11"/>
      <color theme="1"/>
      <name val="Verdana"/>
    </font>
    <font>
      <sz val="11"/>
      <color theme="1"/>
      <name val="Calibri"/>
    </font>
    <font>
      <sz val="11"/>
      <color theme="1"/>
      <name val="Calibri"/>
      <scheme val="minor"/>
    </font>
    <font>
      <sz val="9"/>
      <color theme="1"/>
      <name val="Verdana"/>
    </font>
    <font>
      <b/>
      <sz val="9"/>
      <color theme="1"/>
      <name val="Verdana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EF2CB"/>
        <bgColor rgb="FFFEF2CB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ECECEC"/>
        <bgColor rgb="FFECECEC"/>
      </patternFill>
    </fill>
    <fill>
      <patternFill patternType="solid">
        <fgColor rgb="FFFFFF99"/>
        <bgColor rgb="FFFFFF99"/>
      </patternFill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rgb="FFBDD6EE"/>
        <bgColor rgb="FFBDD6EE"/>
      </patternFill>
    </fill>
  </fills>
  <borders count="1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>
      <left/>
      <right style="hair">
        <color rgb="FFFFFFFF"/>
      </right>
      <top style="hair">
        <color rgb="FFFFFFFF"/>
      </top>
      <bottom style="hair">
        <color rgb="FFFFFFFF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/>
      <diagonal/>
    </border>
    <border>
      <left/>
      <right style="hair">
        <color rgb="FFFFFFFF"/>
      </right>
      <top style="hair">
        <color rgb="FFFFFFFF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double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FFFFFF"/>
      </left>
      <right style="hair">
        <color rgb="FFFFFFFF"/>
      </right>
      <top/>
      <bottom style="hair">
        <color rgb="FFFFFFFF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FFFFFF"/>
      </left>
      <right style="hair">
        <color rgb="FFFFFFFF"/>
      </right>
      <top/>
      <bottom style="hair">
        <color rgb="FFFFFFFF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FFFFFF"/>
      </left>
      <right/>
      <top/>
      <bottom style="thin">
        <color rgb="FF000000"/>
      </bottom>
      <diagonal/>
    </border>
    <border>
      <left/>
      <right style="hair">
        <color rgb="FFFFFFFF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FFFFFF"/>
      </right>
      <top style="hair">
        <color rgb="FFFFFFFF"/>
      </top>
      <bottom style="hair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rgb="FFFFFFFF"/>
      </right>
      <top style="hair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239">
    <xf numFmtId="0" fontId="0" fillId="0" borderId="0" xfId="0"/>
    <xf numFmtId="1" fontId="1" fillId="2" borderId="1" xfId="0" applyNumberFormat="1" applyFont="1" applyFill="1" applyBorder="1"/>
    <xf numFmtId="1" fontId="2" fillId="2" borderId="1" xfId="0" applyNumberFormat="1" applyFont="1" applyFill="1" applyBorder="1"/>
    <xf numFmtId="1" fontId="2" fillId="3" borderId="1" xfId="0" applyNumberFormat="1" applyFont="1" applyFill="1" applyBorder="1"/>
    <xf numFmtId="1" fontId="2" fillId="4" borderId="1" xfId="0" applyNumberFormat="1" applyFont="1" applyFill="1" applyBorder="1"/>
    <xf numFmtId="1" fontId="2" fillId="5" borderId="1" xfId="0" applyNumberFormat="1" applyFont="1" applyFill="1" applyBorder="1"/>
    <xf numFmtId="1" fontId="3" fillId="2" borderId="1" xfId="0" applyNumberFormat="1" applyFont="1" applyFill="1" applyBorder="1"/>
    <xf numFmtId="1" fontId="3" fillId="2" borderId="1" xfId="0" applyNumberFormat="1" applyFont="1" applyFill="1" applyBorder="1" applyAlignment="1">
      <alignment vertical="center" wrapText="1"/>
    </xf>
    <xf numFmtId="1" fontId="5" fillId="2" borderId="1" xfId="0" applyNumberFormat="1" applyFont="1" applyFill="1" applyBorder="1"/>
    <xf numFmtId="1" fontId="6" fillId="0" borderId="0" xfId="0" applyNumberFormat="1" applyFont="1"/>
    <xf numFmtId="1" fontId="5" fillId="0" borderId="5" xfId="0" applyNumberFormat="1" applyFont="1" applyBorder="1"/>
    <xf numFmtId="1" fontId="5" fillId="0" borderId="6" xfId="0" applyNumberFormat="1" applyFont="1" applyBorder="1"/>
    <xf numFmtId="1" fontId="5" fillId="0" borderId="0" xfId="0" applyNumberFormat="1" applyFont="1"/>
    <xf numFmtId="1" fontId="5" fillId="0" borderId="7" xfId="0" applyNumberFormat="1" applyFont="1" applyBorder="1"/>
    <xf numFmtId="1" fontId="5" fillId="0" borderId="8" xfId="0" applyNumberFormat="1" applyFont="1" applyBorder="1"/>
    <xf numFmtId="1" fontId="5" fillId="0" borderId="13" xfId="0" applyNumberFormat="1" applyFont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 vertical="center" wrapText="1"/>
    </xf>
    <xf numFmtId="1" fontId="5" fillId="0" borderId="14" xfId="0" applyNumberFormat="1" applyFont="1" applyBorder="1" applyAlignment="1">
      <alignment horizontal="center" vertical="center" wrapText="1"/>
    </xf>
    <xf numFmtId="1" fontId="5" fillId="0" borderId="15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/>
    <xf numFmtId="1" fontId="5" fillId="6" borderId="23" xfId="0" applyNumberFormat="1" applyFont="1" applyFill="1" applyBorder="1" applyAlignment="1">
      <alignment horizontal="center"/>
    </xf>
    <xf numFmtId="1" fontId="5" fillId="6" borderId="24" xfId="0" applyNumberFormat="1" applyFont="1" applyFill="1" applyBorder="1" applyAlignment="1">
      <alignment horizontal="center"/>
    </xf>
    <xf numFmtId="1" fontId="5" fillId="6" borderId="25" xfId="0" applyNumberFormat="1" applyFont="1" applyFill="1" applyBorder="1" applyAlignment="1">
      <alignment horizontal="center"/>
    </xf>
    <xf numFmtId="1" fontId="5" fillId="6" borderId="26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vertical="top"/>
    </xf>
    <xf numFmtId="1" fontId="5" fillId="0" borderId="27" xfId="0" applyNumberFormat="1" applyFont="1" applyBorder="1" applyAlignment="1">
      <alignment horizontal="left"/>
    </xf>
    <xf numFmtId="1" fontId="5" fillId="0" borderId="28" xfId="0" applyNumberFormat="1" applyFont="1" applyBorder="1" applyAlignment="1">
      <alignment horizontal="left"/>
    </xf>
    <xf numFmtId="1" fontId="5" fillId="0" borderId="29" xfId="0" applyNumberFormat="1" applyFont="1" applyBorder="1" applyAlignment="1">
      <alignment horizontal="left"/>
    </xf>
    <xf numFmtId="1" fontId="5" fillId="0" borderId="30" xfId="0" applyNumberFormat="1" applyFont="1" applyBorder="1" applyAlignment="1">
      <alignment horizontal="left"/>
    </xf>
    <xf numFmtId="1" fontId="5" fillId="0" borderId="29" xfId="0" applyNumberFormat="1" applyFont="1" applyBorder="1"/>
    <xf numFmtId="1" fontId="5" fillId="6" borderId="31" xfId="0" applyNumberFormat="1" applyFont="1" applyFill="1" applyBorder="1" applyAlignment="1">
      <alignment horizontal="center"/>
    </xf>
    <xf numFmtId="1" fontId="5" fillId="6" borderId="32" xfId="0" applyNumberFormat="1" applyFont="1" applyFill="1" applyBorder="1" applyAlignment="1">
      <alignment horizontal="center"/>
    </xf>
    <xf numFmtId="1" fontId="5" fillId="6" borderId="33" xfId="0" applyNumberFormat="1" applyFont="1" applyFill="1" applyBorder="1" applyAlignment="1">
      <alignment horizontal="center"/>
    </xf>
    <xf numFmtId="1" fontId="5" fillId="0" borderId="35" xfId="0" applyNumberFormat="1" applyFont="1" applyBorder="1" applyAlignment="1">
      <alignment horizontal="left"/>
    </xf>
    <xf numFmtId="1" fontId="5" fillId="0" borderId="36" xfId="0" applyNumberFormat="1" applyFont="1" applyBorder="1"/>
    <xf numFmtId="1" fontId="5" fillId="6" borderId="37" xfId="0" applyNumberFormat="1" applyFont="1" applyFill="1" applyBorder="1" applyAlignment="1">
      <alignment horizontal="center"/>
    </xf>
    <xf numFmtId="1" fontId="5" fillId="6" borderId="38" xfId="0" applyNumberFormat="1" applyFont="1" applyFill="1" applyBorder="1" applyAlignment="1">
      <alignment horizontal="center"/>
    </xf>
    <xf numFmtId="1" fontId="5" fillId="6" borderId="39" xfId="0" applyNumberFormat="1" applyFont="1" applyFill="1" applyBorder="1" applyAlignment="1">
      <alignment horizontal="center"/>
    </xf>
    <xf numFmtId="1" fontId="5" fillId="0" borderId="36" xfId="0" applyNumberFormat="1" applyFont="1" applyBorder="1" applyAlignment="1">
      <alignment horizontal="right"/>
    </xf>
    <xf numFmtId="1" fontId="6" fillId="0" borderId="5" xfId="0" applyNumberFormat="1" applyFont="1" applyBorder="1"/>
    <xf numFmtId="1" fontId="5" fillId="0" borderId="40" xfId="0" applyNumberFormat="1" applyFont="1" applyBorder="1"/>
    <xf numFmtId="1" fontId="2" fillId="2" borderId="5" xfId="0" applyNumberFormat="1" applyFont="1" applyFill="1" applyBorder="1"/>
    <xf numFmtId="1" fontId="5" fillId="7" borderId="41" xfId="0" applyNumberFormat="1" applyFont="1" applyFill="1" applyBorder="1"/>
    <xf numFmtId="1" fontId="5" fillId="7" borderId="24" xfId="0" applyNumberFormat="1" applyFont="1" applyFill="1" applyBorder="1" applyAlignment="1">
      <alignment horizontal="center"/>
    </xf>
    <xf numFmtId="1" fontId="5" fillId="0" borderId="35" xfId="0" applyNumberFormat="1" applyFont="1" applyBorder="1"/>
    <xf numFmtId="1" fontId="5" fillId="6" borderId="42" xfId="0" applyNumberFormat="1" applyFont="1" applyFill="1" applyBorder="1" applyAlignment="1">
      <alignment horizontal="center"/>
    </xf>
    <xf numFmtId="1" fontId="5" fillId="7" borderId="43" xfId="0" applyNumberFormat="1" applyFont="1" applyFill="1" applyBorder="1"/>
    <xf numFmtId="1" fontId="5" fillId="7" borderId="31" xfId="0" applyNumberFormat="1" applyFont="1" applyFill="1" applyBorder="1" applyAlignment="1">
      <alignment horizontal="center"/>
    </xf>
    <xf numFmtId="1" fontId="6" fillId="3" borderId="44" xfId="0" applyNumberFormat="1" applyFont="1" applyFill="1" applyBorder="1"/>
    <xf numFmtId="1" fontId="5" fillId="0" borderId="45" xfId="0" applyNumberFormat="1" applyFont="1" applyBorder="1" applyAlignment="1">
      <alignment horizontal="right"/>
    </xf>
    <xf numFmtId="1" fontId="5" fillId="6" borderId="24" xfId="0" applyNumberFormat="1" applyFont="1" applyFill="1" applyBorder="1"/>
    <xf numFmtId="1" fontId="5" fillId="0" borderId="31" xfId="0" applyNumberFormat="1" applyFont="1" applyBorder="1" applyAlignment="1">
      <alignment horizontal="right"/>
    </xf>
    <xf numFmtId="1" fontId="5" fillId="6" borderId="31" xfId="0" applyNumberFormat="1" applyFont="1" applyFill="1" applyBorder="1"/>
    <xf numFmtId="1" fontId="6" fillId="0" borderId="40" xfId="0" applyNumberFormat="1" applyFont="1" applyBorder="1"/>
    <xf numFmtId="1" fontId="5" fillId="0" borderId="0" xfId="0" applyNumberFormat="1" applyFont="1" applyAlignment="1">
      <alignment horizontal="right"/>
    </xf>
    <xf numFmtId="1" fontId="5" fillId="0" borderId="46" xfId="0" applyNumberFormat="1" applyFont="1" applyBorder="1" applyAlignment="1">
      <alignment horizontal="center" vertical="center" wrapText="1"/>
    </xf>
    <xf numFmtId="1" fontId="5" fillId="0" borderId="47" xfId="0" applyNumberFormat="1" applyFont="1" applyBorder="1" applyAlignment="1">
      <alignment horizontal="center" vertical="center" wrapText="1"/>
    </xf>
    <xf numFmtId="1" fontId="5" fillId="0" borderId="48" xfId="0" applyNumberFormat="1" applyFont="1" applyBorder="1" applyAlignment="1">
      <alignment horizontal="center" vertical="center" wrapText="1"/>
    </xf>
    <xf numFmtId="0" fontId="5" fillId="0" borderId="23" xfId="0" applyFont="1" applyBorder="1" applyAlignment="1">
      <alignment vertical="center" wrapText="1"/>
    </xf>
    <xf numFmtId="1" fontId="5" fillId="0" borderId="23" xfId="0" applyNumberFormat="1" applyFont="1" applyBorder="1" applyAlignment="1">
      <alignment horizontal="right"/>
    </xf>
    <xf numFmtId="1" fontId="5" fillId="6" borderId="49" xfId="0" applyNumberFormat="1" applyFont="1" applyFill="1" applyBorder="1"/>
    <xf numFmtId="1" fontId="5" fillId="6" borderId="50" xfId="0" applyNumberFormat="1" applyFont="1" applyFill="1" applyBorder="1"/>
    <xf numFmtId="1" fontId="5" fillId="6" borderId="51" xfId="0" applyNumberFormat="1" applyFont="1" applyFill="1" applyBorder="1"/>
    <xf numFmtId="1" fontId="5" fillId="6" borderId="26" xfId="0" applyNumberFormat="1" applyFont="1" applyFill="1" applyBorder="1"/>
    <xf numFmtId="0" fontId="5" fillId="0" borderId="52" xfId="0" applyFont="1" applyBorder="1" applyAlignment="1">
      <alignment vertical="center" wrapText="1"/>
    </xf>
    <xf numFmtId="1" fontId="5" fillId="0" borderId="52" xfId="0" applyNumberFormat="1" applyFont="1" applyBorder="1" applyAlignment="1">
      <alignment horizontal="right" vertical="center"/>
    </xf>
    <xf numFmtId="1" fontId="5" fillId="6" borderId="53" xfId="0" applyNumberFormat="1" applyFont="1" applyFill="1" applyBorder="1"/>
    <xf numFmtId="1" fontId="5" fillId="6" borderId="54" xfId="0" applyNumberFormat="1" applyFont="1" applyFill="1" applyBorder="1"/>
    <xf numFmtId="1" fontId="5" fillId="6" borderId="55" xfId="0" applyNumberFormat="1" applyFont="1" applyFill="1" applyBorder="1"/>
    <xf numFmtId="0" fontId="5" fillId="0" borderId="18" xfId="0" applyFont="1" applyBorder="1" applyAlignment="1">
      <alignment vertical="center" wrapText="1"/>
    </xf>
    <xf numFmtId="1" fontId="5" fillId="0" borderId="18" xfId="0" applyNumberFormat="1" applyFont="1" applyBorder="1" applyAlignment="1">
      <alignment horizontal="right" vertical="center"/>
    </xf>
    <xf numFmtId="1" fontId="5" fillId="6" borderId="56" xfId="0" applyNumberFormat="1" applyFont="1" applyFill="1" applyBorder="1"/>
    <xf numFmtId="1" fontId="5" fillId="6" borderId="57" xfId="0" applyNumberFormat="1" applyFont="1" applyFill="1" applyBorder="1"/>
    <xf numFmtId="1" fontId="5" fillId="6" borderId="58" xfId="0" applyNumberFormat="1" applyFont="1" applyFill="1" applyBorder="1"/>
    <xf numFmtId="1" fontId="5" fillId="6" borderId="33" xfId="0" applyNumberFormat="1" applyFont="1" applyFill="1" applyBorder="1"/>
    <xf numFmtId="0" fontId="7" fillId="0" borderId="0" xfId="0" applyFont="1"/>
    <xf numFmtId="1" fontId="5" fillId="2" borderId="19" xfId="0" applyNumberFormat="1" applyFont="1" applyFill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1" fontId="5" fillId="0" borderId="59" xfId="0" applyNumberFormat="1" applyFont="1" applyBorder="1" applyAlignment="1">
      <alignment horizontal="center" vertical="center" wrapText="1"/>
    </xf>
    <xf numFmtId="1" fontId="5" fillId="0" borderId="60" xfId="0" applyNumberFormat="1" applyFont="1" applyBorder="1" applyAlignment="1">
      <alignment horizontal="center" vertical="center" wrapText="1"/>
    </xf>
    <xf numFmtId="1" fontId="5" fillId="0" borderId="49" xfId="0" applyNumberFormat="1" applyFont="1" applyBorder="1"/>
    <xf numFmtId="1" fontId="5" fillId="6" borderId="23" xfId="0" applyNumberFormat="1" applyFont="1" applyFill="1" applyBorder="1"/>
    <xf numFmtId="1" fontId="5" fillId="6" borderId="61" xfId="0" applyNumberFormat="1" applyFont="1" applyFill="1" applyBorder="1"/>
    <xf numFmtId="1" fontId="5" fillId="6" borderId="62" xfId="0" applyNumberFormat="1" applyFont="1" applyFill="1" applyBorder="1"/>
    <xf numFmtId="1" fontId="5" fillId="0" borderId="53" xfId="0" applyNumberFormat="1" applyFont="1" applyBorder="1"/>
    <xf numFmtId="1" fontId="5" fillId="6" borderId="52" xfId="0" applyNumberFormat="1" applyFont="1" applyFill="1" applyBorder="1"/>
    <xf numFmtId="1" fontId="5" fillId="6" borderId="63" xfId="0" applyNumberFormat="1" applyFont="1" applyFill="1" applyBorder="1"/>
    <xf numFmtId="1" fontId="5" fillId="6" borderId="64" xfId="0" applyNumberFormat="1" applyFont="1" applyFill="1" applyBorder="1"/>
    <xf numFmtId="1" fontId="5" fillId="0" borderId="56" xfId="0" applyNumberFormat="1" applyFont="1" applyBorder="1"/>
    <xf numFmtId="1" fontId="5" fillId="6" borderId="65" xfId="0" applyNumberFormat="1" applyFont="1" applyFill="1" applyBorder="1"/>
    <xf numFmtId="1" fontId="5" fillId="0" borderId="12" xfId="0" applyNumberFormat="1" applyFont="1" applyBorder="1"/>
    <xf numFmtId="1" fontId="5" fillId="0" borderId="66" xfId="0" applyNumberFormat="1" applyFont="1" applyBorder="1"/>
    <xf numFmtId="1" fontId="5" fillId="0" borderId="67" xfId="0" applyNumberFormat="1" applyFont="1" applyBorder="1"/>
    <xf numFmtId="1" fontId="5" fillId="0" borderId="15" xfId="0" applyNumberFormat="1" applyFont="1" applyBorder="1"/>
    <xf numFmtId="1" fontId="5" fillId="0" borderId="46" xfId="0" applyNumberFormat="1" applyFont="1" applyBorder="1" applyAlignment="1">
      <alignment horizontal="center" vertical="center"/>
    </xf>
    <xf numFmtId="1" fontId="5" fillId="0" borderId="70" xfId="0" applyNumberFormat="1" applyFont="1" applyBorder="1" applyAlignment="1">
      <alignment horizontal="center" vertical="center" wrapText="1"/>
    </xf>
    <xf numFmtId="1" fontId="5" fillId="0" borderId="70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" fontId="5" fillId="3" borderId="71" xfId="0" applyNumberFormat="1" applyFont="1" applyFill="1" applyBorder="1"/>
    <xf numFmtId="1" fontId="5" fillId="3" borderId="5" xfId="0" applyNumberFormat="1" applyFont="1" applyFill="1" applyBorder="1"/>
    <xf numFmtId="1" fontId="5" fillId="0" borderId="19" xfId="0" applyNumberFormat="1" applyFont="1" applyBorder="1" applyAlignment="1">
      <alignment horizontal="right"/>
    </xf>
    <xf numFmtId="1" fontId="5" fillId="6" borderId="46" xfId="0" applyNumberFormat="1" applyFont="1" applyFill="1" applyBorder="1" applyAlignment="1">
      <alignment horizontal="right"/>
    </xf>
    <xf numFmtId="1" fontId="5" fillId="6" borderId="70" xfId="0" applyNumberFormat="1" applyFont="1" applyFill="1" applyBorder="1" applyAlignment="1">
      <alignment horizontal="right"/>
    </xf>
    <xf numFmtId="1" fontId="5" fillId="6" borderId="72" xfId="0" applyNumberFormat="1" applyFont="1" applyFill="1" applyBorder="1" applyAlignment="1">
      <alignment horizontal="right"/>
    </xf>
    <xf numFmtId="1" fontId="5" fillId="3" borderId="1" xfId="0" applyNumberFormat="1" applyFont="1" applyFill="1" applyBorder="1" applyAlignment="1">
      <alignment wrapText="1"/>
    </xf>
    <xf numFmtId="1" fontId="5" fillId="0" borderId="20" xfId="0" applyNumberFormat="1" applyFont="1" applyBorder="1" applyAlignment="1">
      <alignment wrapText="1"/>
    </xf>
    <xf numFmtId="1" fontId="5" fillId="6" borderId="73" xfId="0" applyNumberFormat="1" applyFont="1" applyFill="1" applyBorder="1" applyAlignment="1">
      <alignment horizontal="right"/>
    </xf>
    <xf numFmtId="1" fontId="5" fillId="6" borderId="74" xfId="0" applyNumberFormat="1" applyFont="1" applyFill="1" applyBorder="1" applyAlignment="1">
      <alignment horizontal="right"/>
    </xf>
    <xf numFmtId="1" fontId="5" fillId="6" borderId="26" xfId="0" applyNumberFormat="1" applyFont="1" applyFill="1" applyBorder="1" applyAlignment="1">
      <alignment horizontal="right"/>
    </xf>
    <xf numFmtId="1" fontId="5" fillId="0" borderId="35" xfId="0" applyNumberFormat="1" applyFont="1" applyBorder="1" applyAlignment="1">
      <alignment wrapText="1"/>
    </xf>
    <xf numFmtId="1" fontId="5" fillId="0" borderId="34" xfId="0" applyNumberFormat="1" applyFont="1" applyBorder="1" applyAlignment="1">
      <alignment horizontal="right"/>
    </xf>
    <xf numFmtId="1" fontId="5" fillId="6" borderId="75" xfId="0" applyNumberFormat="1" applyFont="1" applyFill="1" applyBorder="1" applyAlignment="1">
      <alignment horizontal="right"/>
    </xf>
    <xf numFmtId="1" fontId="5" fillId="6" borderId="76" xfId="0" applyNumberFormat="1" applyFont="1" applyFill="1" applyBorder="1" applyAlignment="1">
      <alignment horizontal="right"/>
    </xf>
    <xf numFmtId="1" fontId="5" fillId="6" borderId="77" xfId="0" applyNumberFormat="1" applyFont="1" applyFill="1" applyBorder="1" applyAlignment="1">
      <alignment horizontal="right"/>
    </xf>
    <xf numFmtId="1" fontId="5" fillId="6" borderId="49" xfId="0" applyNumberFormat="1" applyFont="1" applyFill="1" applyBorder="1" applyAlignment="1">
      <alignment horizontal="right"/>
    </xf>
    <xf numFmtId="1" fontId="5" fillId="6" borderId="61" xfId="0" applyNumberFormat="1" applyFont="1" applyFill="1" applyBorder="1" applyAlignment="1">
      <alignment horizontal="right"/>
    </xf>
    <xf numFmtId="1" fontId="5" fillId="6" borderId="62" xfId="0" applyNumberFormat="1" applyFont="1" applyFill="1" applyBorder="1" applyAlignment="1">
      <alignment horizontal="right"/>
    </xf>
    <xf numFmtId="1" fontId="5" fillId="0" borderId="36" xfId="0" applyNumberFormat="1" applyFont="1" applyBorder="1" applyAlignment="1">
      <alignment wrapText="1"/>
    </xf>
    <xf numFmtId="1" fontId="5" fillId="0" borderId="18" xfId="0" applyNumberFormat="1" applyFont="1" applyBorder="1" applyAlignment="1">
      <alignment horizontal="right"/>
    </xf>
    <xf numFmtId="1" fontId="5" fillId="6" borderId="56" xfId="0" applyNumberFormat="1" applyFont="1" applyFill="1" applyBorder="1" applyAlignment="1">
      <alignment horizontal="right"/>
    </xf>
    <xf numFmtId="1" fontId="5" fillId="6" borderId="65" xfId="0" applyNumberFormat="1" applyFont="1" applyFill="1" applyBorder="1" applyAlignment="1">
      <alignment horizontal="right"/>
    </xf>
    <xf numFmtId="1" fontId="5" fillId="6" borderId="33" xfId="0" applyNumberFormat="1" applyFont="1" applyFill="1" applyBorder="1" applyAlignment="1">
      <alignment horizontal="right"/>
    </xf>
    <xf numFmtId="1" fontId="5" fillId="0" borderId="78" xfId="0" applyNumberFormat="1" applyFont="1" applyBorder="1"/>
    <xf numFmtId="1" fontId="2" fillId="0" borderId="6" xfId="0" applyNumberFormat="1" applyFont="1" applyBorder="1"/>
    <xf numFmtId="1" fontId="5" fillId="0" borderId="13" xfId="0" applyNumberFormat="1" applyFont="1" applyBorder="1" applyAlignment="1">
      <alignment horizontal="center" vertical="center" wrapText="1"/>
    </xf>
    <xf numFmtId="1" fontId="5" fillId="0" borderId="23" xfId="0" applyNumberFormat="1" applyFont="1" applyBorder="1" applyAlignment="1">
      <alignment wrapText="1"/>
    </xf>
    <xf numFmtId="1" fontId="5" fillId="6" borderId="73" xfId="0" applyNumberFormat="1" applyFont="1" applyFill="1" applyBorder="1"/>
    <xf numFmtId="1" fontId="5" fillId="0" borderId="81" xfId="0" applyNumberFormat="1" applyFont="1" applyBorder="1" applyAlignment="1">
      <alignment wrapText="1"/>
    </xf>
    <xf numFmtId="1" fontId="5" fillId="6" borderId="82" xfId="0" applyNumberFormat="1" applyFont="1" applyFill="1" applyBorder="1" applyAlignment="1">
      <alignment horizontal="right"/>
    </xf>
    <xf numFmtId="1" fontId="5" fillId="6" borderId="83" xfId="0" applyNumberFormat="1" applyFont="1" applyFill="1" applyBorder="1" applyAlignment="1">
      <alignment horizontal="right"/>
    </xf>
    <xf numFmtId="1" fontId="5" fillId="6" borderId="82" xfId="0" applyNumberFormat="1" applyFont="1" applyFill="1" applyBorder="1"/>
    <xf numFmtId="1" fontId="5" fillId="6" borderId="83" xfId="0" applyNumberFormat="1" applyFont="1" applyFill="1" applyBorder="1"/>
    <xf numFmtId="1" fontId="5" fillId="0" borderId="19" xfId="0" applyNumberFormat="1" applyFont="1" applyBorder="1" applyAlignment="1">
      <alignment wrapText="1"/>
    </xf>
    <xf numFmtId="1" fontId="1" fillId="0" borderId="46" xfId="0" applyNumberFormat="1" applyFont="1" applyBorder="1" applyAlignment="1">
      <alignment horizontal="right"/>
    </xf>
    <xf numFmtId="1" fontId="1" fillId="0" borderId="19" xfId="0" applyNumberFormat="1" applyFont="1" applyBorder="1" applyAlignment="1">
      <alignment horizontal="right"/>
    </xf>
    <xf numFmtId="1" fontId="5" fillId="0" borderId="84" xfId="0" applyNumberFormat="1" applyFont="1" applyBorder="1" applyAlignment="1">
      <alignment horizontal="center" vertical="center" wrapText="1"/>
    </xf>
    <xf numFmtId="1" fontId="5" fillId="0" borderId="23" xfId="0" applyNumberFormat="1" applyFont="1" applyBorder="1"/>
    <xf numFmtId="1" fontId="5" fillId="6" borderId="25" xfId="0" applyNumberFormat="1" applyFont="1" applyFill="1" applyBorder="1"/>
    <xf numFmtId="1" fontId="5" fillId="6" borderId="85" xfId="0" applyNumberFormat="1" applyFont="1" applyFill="1" applyBorder="1"/>
    <xf numFmtId="1" fontId="5" fillId="6" borderId="86" xfId="0" applyNumberFormat="1" applyFont="1" applyFill="1" applyBorder="1"/>
    <xf numFmtId="1" fontId="5" fillId="0" borderId="52" xfId="0" applyNumberFormat="1" applyFont="1" applyBorder="1" applyAlignment="1">
      <alignment wrapText="1"/>
    </xf>
    <xf numFmtId="1" fontId="5" fillId="0" borderId="52" xfId="0" applyNumberFormat="1" applyFont="1" applyBorder="1"/>
    <xf numFmtId="1" fontId="5" fillId="6" borderId="87" xfId="0" applyNumberFormat="1" applyFont="1" applyFill="1" applyBorder="1"/>
    <xf numFmtId="1" fontId="5" fillId="6" borderId="88" xfId="0" applyNumberFormat="1" applyFont="1" applyFill="1" applyBorder="1"/>
    <xf numFmtId="1" fontId="2" fillId="3" borderId="5" xfId="0" applyNumberFormat="1" applyFont="1" applyFill="1" applyBorder="1"/>
    <xf numFmtId="1" fontId="5" fillId="0" borderId="18" xfId="0" applyNumberFormat="1" applyFont="1" applyBorder="1" applyAlignment="1">
      <alignment wrapText="1"/>
    </xf>
    <xf numFmtId="1" fontId="5" fillId="0" borderId="18" xfId="0" applyNumberFormat="1" applyFont="1" applyBorder="1"/>
    <xf numFmtId="1" fontId="5" fillId="6" borderId="89" xfId="0" applyNumberFormat="1" applyFont="1" applyFill="1" applyBorder="1"/>
    <xf numFmtId="1" fontId="5" fillId="0" borderId="31" xfId="0" applyNumberFormat="1" applyFont="1" applyBorder="1" applyAlignment="1">
      <alignment wrapText="1"/>
    </xf>
    <xf numFmtId="1" fontId="5" fillId="0" borderId="19" xfId="0" applyNumberFormat="1" applyFont="1" applyBorder="1"/>
    <xf numFmtId="1" fontId="1" fillId="0" borderId="46" xfId="0" applyNumberFormat="1" applyFont="1" applyBorder="1"/>
    <xf numFmtId="1" fontId="1" fillId="0" borderId="14" xfId="0" applyNumberFormat="1" applyFont="1" applyBorder="1"/>
    <xf numFmtId="1" fontId="1" fillId="0" borderId="47" xfId="0" applyNumberFormat="1" applyFont="1" applyBorder="1"/>
    <xf numFmtId="1" fontId="1" fillId="0" borderId="84" xfId="0" applyNumberFormat="1" applyFont="1" applyBorder="1"/>
    <xf numFmtId="1" fontId="6" fillId="2" borderId="1" xfId="0" applyNumberFormat="1" applyFont="1" applyFill="1" applyBorder="1" applyAlignment="1">
      <alignment horizontal="left"/>
    </xf>
    <xf numFmtId="0" fontId="8" fillId="0" borderId="0" xfId="0" applyFont="1"/>
    <xf numFmtId="1" fontId="2" fillId="2" borderId="90" xfId="0" applyNumberFormat="1" applyFont="1" applyFill="1" applyBorder="1"/>
    <xf numFmtId="1" fontId="5" fillId="2" borderId="93" xfId="0" applyNumberFormat="1" applyFont="1" applyFill="1" applyBorder="1" applyAlignment="1">
      <alignment horizontal="center" vertical="center"/>
    </xf>
    <xf numFmtId="1" fontId="5" fillId="2" borderId="19" xfId="0" applyNumberFormat="1" applyFont="1" applyFill="1" applyBorder="1" applyAlignment="1">
      <alignment horizontal="center" vertical="center"/>
    </xf>
    <xf numFmtId="1" fontId="5" fillId="0" borderId="23" xfId="0" applyNumberFormat="1" applyFont="1" applyBorder="1" applyAlignment="1">
      <alignment horizontal="left"/>
    </xf>
    <xf numFmtId="1" fontId="5" fillId="6" borderId="94" xfId="0" applyNumberFormat="1" applyFont="1" applyFill="1" applyBorder="1"/>
    <xf numFmtId="1" fontId="5" fillId="6" borderId="95" xfId="0" applyNumberFormat="1" applyFont="1" applyFill="1" applyBorder="1"/>
    <xf numFmtId="1" fontId="5" fillId="0" borderId="31" xfId="0" applyNumberFormat="1" applyFont="1" applyBorder="1" applyAlignment="1">
      <alignment horizontal="left"/>
    </xf>
    <xf numFmtId="1" fontId="5" fillId="0" borderId="31" xfId="0" applyNumberFormat="1" applyFont="1" applyBorder="1"/>
    <xf numFmtId="1" fontId="5" fillId="6" borderId="96" xfId="0" applyNumberFormat="1" applyFont="1" applyFill="1" applyBorder="1"/>
    <xf numFmtId="1" fontId="5" fillId="6" borderId="97" xfId="0" applyNumberFormat="1" applyFont="1" applyFill="1" applyBorder="1"/>
    <xf numFmtId="1" fontId="2" fillId="8" borderId="1" xfId="0" applyNumberFormat="1" applyFont="1" applyFill="1" applyBorder="1"/>
    <xf numFmtId="1" fontId="9" fillId="0" borderId="89" xfId="0" applyNumberFormat="1" applyFont="1" applyBorder="1" applyAlignment="1">
      <alignment vertical="center"/>
    </xf>
    <xf numFmtId="1" fontId="10" fillId="0" borderId="56" xfId="0" applyNumberFormat="1" applyFont="1" applyBorder="1" applyAlignment="1">
      <alignment vertical="center" wrapText="1"/>
    </xf>
    <xf numFmtId="1" fontId="5" fillId="3" borderId="1" xfId="0" applyNumberFormat="1" applyFont="1" applyFill="1" applyBorder="1"/>
    <xf numFmtId="1" fontId="1" fillId="13" borderId="114" xfId="0" applyNumberFormat="1" applyFont="1" applyFill="1" applyBorder="1" applyAlignment="1">
      <alignment horizontal="center" vertical="center" wrapText="1"/>
    </xf>
    <xf numFmtId="1" fontId="1" fillId="10" borderId="114" xfId="0" applyNumberFormat="1" applyFont="1" applyFill="1" applyBorder="1" applyAlignment="1">
      <alignment horizontal="center" vertical="center" wrapText="1"/>
    </xf>
    <xf numFmtId="1" fontId="1" fillId="11" borderId="114" xfId="0" applyNumberFormat="1" applyFont="1" applyFill="1" applyBorder="1" applyAlignment="1">
      <alignment horizontal="center" vertical="center" wrapText="1"/>
    </xf>
    <xf numFmtId="1" fontId="1" fillId="12" borderId="114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wrapText="1"/>
    </xf>
    <xf numFmtId="1" fontId="5" fillId="0" borderId="15" xfId="0" applyNumberFormat="1" applyFont="1" applyBorder="1" applyAlignment="1">
      <alignment horizontal="center" wrapText="1"/>
    </xf>
    <xf numFmtId="0" fontId="5" fillId="14" borderId="63" xfId="0" applyFont="1" applyFill="1" applyBorder="1" applyAlignment="1">
      <alignment horizontal="center"/>
    </xf>
    <xf numFmtId="0" fontId="5" fillId="14" borderId="63" xfId="0" applyFont="1" applyFill="1" applyBorder="1" applyAlignment="1">
      <alignment vertical="center" wrapText="1"/>
    </xf>
    <xf numFmtId="1" fontId="5" fillId="0" borderId="63" xfId="0" applyNumberFormat="1" applyFont="1" applyBorder="1" applyAlignment="1">
      <alignment horizontal="right"/>
    </xf>
    <xf numFmtId="1" fontId="5" fillId="6" borderId="63" xfId="0" applyNumberFormat="1" applyFont="1" applyFill="1" applyBorder="1" applyAlignment="1">
      <alignment horizontal="right"/>
    </xf>
    <xf numFmtId="1" fontId="1" fillId="6" borderId="63" xfId="0" applyNumberFormat="1" applyFont="1" applyFill="1" applyBorder="1" applyAlignment="1">
      <alignment horizontal="right"/>
    </xf>
    <xf numFmtId="3" fontId="5" fillId="0" borderId="63" xfId="0" applyNumberFormat="1" applyFont="1" applyBorder="1"/>
    <xf numFmtId="3" fontId="5" fillId="0" borderId="63" xfId="0" applyNumberFormat="1" applyFont="1" applyBorder="1" applyAlignment="1">
      <alignment horizontal="right"/>
    </xf>
    <xf numFmtId="1" fontId="1" fillId="3" borderId="1" xfId="0" applyNumberFormat="1" applyFont="1" applyFill="1" applyBorder="1"/>
    <xf numFmtId="1" fontId="1" fillId="0" borderId="80" xfId="0" applyNumberFormat="1" applyFont="1" applyBorder="1"/>
    <xf numFmtId="1" fontId="3" fillId="2" borderId="2" xfId="0" applyNumberFormat="1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1" fontId="5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/>
    <xf numFmtId="0" fontId="4" fillId="0" borderId="16" xfId="0" applyFont="1" applyBorder="1"/>
    <xf numFmtId="0" fontId="4" fillId="0" borderId="17" xfId="0" applyFont="1" applyBorder="1"/>
    <xf numFmtId="1" fontId="5" fillId="0" borderId="11" xfId="0" applyNumberFormat="1" applyFont="1" applyBorder="1" applyAlignment="1">
      <alignment horizontal="center" vertical="center" wrapText="1"/>
    </xf>
    <xf numFmtId="0" fontId="4" fillId="0" borderId="18" xfId="0" applyFont="1" applyBorder="1"/>
    <xf numFmtId="1" fontId="5" fillId="0" borderId="12" xfId="0" applyNumberFormat="1" applyFont="1" applyBorder="1" applyAlignment="1">
      <alignment horizontal="center" vertical="center" wrapText="1"/>
    </xf>
    <xf numFmtId="0" fontId="4" fillId="0" borderId="13" xfId="0" applyFont="1" applyBorder="1"/>
    <xf numFmtId="0" fontId="4" fillId="0" borderId="14" xfId="0" applyFont="1" applyBorder="1"/>
    <xf numFmtId="1" fontId="5" fillId="0" borderId="13" xfId="0" applyNumberFormat="1" applyFont="1" applyBorder="1" applyAlignment="1">
      <alignment horizontal="center" vertical="center"/>
    </xf>
    <xf numFmtId="0" fontId="4" fillId="0" borderId="15" xfId="0" applyFont="1" applyBorder="1"/>
    <xf numFmtId="1" fontId="5" fillId="0" borderId="20" xfId="0" applyNumberFormat="1" applyFont="1" applyBorder="1" applyAlignment="1">
      <alignment horizontal="left"/>
    </xf>
    <xf numFmtId="0" fontId="4" fillId="0" borderId="21" xfId="0" applyFont="1" applyBorder="1"/>
    <xf numFmtId="1" fontId="5" fillId="0" borderId="34" xfId="0" applyNumberFormat="1" applyFont="1" applyBorder="1" applyAlignment="1">
      <alignment horizontal="left" vertical="center"/>
    </xf>
    <xf numFmtId="1" fontId="5" fillId="0" borderId="36" xfId="0" applyNumberFormat="1" applyFont="1" applyBorder="1" applyAlignment="1">
      <alignment horizontal="left"/>
    </xf>
    <xf numFmtId="1" fontId="6" fillId="0" borderId="68" xfId="0" applyNumberFormat="1" applyFont="1" applyBorder="1"/>
    <xf numFmtId="0" fontId="4" fillId="0" borderId="69" xfId="0" applyFont="1" applyBorder="1"/>
    <xf numFmtId="1" fontId="5" fillId="0" borderId="12" xfId="0" applyNumberFormat="1" applyFont="1" applyBorder="1" applyAlignment="1">
      <alignment horizontal="center" wrapText="1"/>
    </xf>
    <xf numFmtId="1" fontId="5" fillId="0" borderId="10" xfId="0" applyNumberFormat="1" applyFont="1" applyBorder="1" applyAlignment="1">
      <alignment horizontal="center" vertical="center" wrapText="1"/>
    </xf>
    <xf numFmtId="0" fontId="4" fillId="0" borderId="80" xfId="0" applyFont="1" applyBorder="1"/>
    <xf numFmtId="1" fontId="5" fillId="0" borderId="79" xfId="0" applyNumberFormat="1" applyFont="1" applyBorder="1" applyAlignment="1">
      <alignment horizontal="center" vertical="center" wrapText="1"/>
    </xf>
    <xf numFmtId="0" fontId="4" fillId="0" borderId="36" xfId="0" applyFont="1" applyBorder="1"/>
    <xf numFmtId="1" fontId="5" fillId="0" borderId="13" xfId="0" applyNumberFormat="1" applyFont="1" applyBorder="1" applyAlignment="1">
      <alignment horizontal="center" vertical="center" wrapText="1"/>
    </xf>
    <xf numFmtId="1" fontId="5" fillId="2" borderId="91" xfId="0" applyNumberFormat="1" applyFont="1" applyFill="1" applyBorder="1" applyAlignment="1">
      <alignment horizontal="center" vertical="center"/>
    </xf>
    <xf numFmtId="0" fontId="4" fillId="0" borderId="92" xfId="0" applyFont="1" applyBorder="1"/>
    <xf numFmtId="1" fontId="6" fillId="0" borderId="9" xfId="0" applyNumberFormat="1" applyFont="1" applyBorder="1" applyAlignment="1">
      <alignment horizontal="left" wrapText="1"/>
    </xf>
    <xf numFmtId="0" fontId="4" fillId="0" borderId="9" xfId="0" applyFont="1" applyBorder="1"/>
    <xf numFmtId="3" fontId="1" fillId="0" borderId="98" xfId="0" applyNumberFormat="1" applyFont="1" applyBorder="1" applyAlignment="1">
      <alignment horizontal="center" vertical="center" wrapText="1"/>
    </xf>
    <xf numFmtId="0" fontId="4" fillId="0" borderId="106" xfId="0" applyFont="1" applyBorder="1"/>
    <xf numFmtId="1" fontId="1" fillId="0" borderId="98" xfId="0" applyNumberFormat="1" applyFont="1" applyBorder="1" applyAlignment="1">
      <alignment horizontal="center" vertical="center" wrapText="1"/>
    </xf>
    <xf numFmtId="1" fontId="9" fillId="0" borderId="105" xfId="0" applyNumberFormat="1" applyFont="1" applyBorder="1" applyAlignment="1">
      <alignment horizontal="center" vertical="center"/>
    </xf>
    <xf numFmtId="0" fontId="4" fillId="0" borderId="112" xfId="0" applyFont="1" applyBorder="1"/>
    <xf numFmtId="1" fontId="10" fillId="0" borderId="59" xfId="0" applyNumberFormat="1" applyFont="1" applyBorder="1" applyAlignment="1">
      <alignment horizontal="center" vertical="center" wrapText="1"/>
    </xf>
    <xf numFmtId="0" fontId="4" fillId="0" borderId="66" xfId="0" applyFont="1" applyBorder="1"/>
    <xf numFmtId="1" fontId="1" fillId="13" borderId="98" xfId="0" applyNumberFormat="1" applyFont="1" applyFill="1" applyBorder="1" applyAlignment="1">
      <alignment horizontal="center" vertical="center" wrapText="1"/>
    </xf>
    <xf numFmtId="0" fontId="4" fillId="0" borderId="113" xfId="0" applyFont="1" applyBorder="1"/>
    <xf numFmtId="1" fontId="1" fillId="13" borderId="107" xfId="0" applyNumberFormat="1" applyFont="1" applyFill="1" applyBorder="1" applyAlignment="1">
      <alignment horizontal="center" vertical="center"/>
    </xf>
    <xf numFmtId="0" fontId="4" fillId="0" borderId="108" xfId="0" applyFont="1" applyBorder="1"/>
    <xf numFmtId="1" fontId="1" fillId="9" borderId="98" xfId="0" applyNumberFormat="1" applyFont="1" applyFill="1" applyBorder="1" applyAlignment="1">
      <alignment horizontal="center" vertical="center" wrapText="1"/>
    </xf>
    <xf numFmtId="1" fontId="1" fillId="9" borderId="99" xfId="0" applyNumberFormat="1" applyFont="1" applyFill="1" applyBorder="1" applyAlignment="1">
      <alignment horizontal="center" vertical="center"/>
    </xf>
    <xf numFmtId="0" fontId="4" fillId="0" borderId="100" xfId="0" applyFont="1" applyBorder="1"/>
    <xf numFmtId="0" fontId="4" fillId="0" borderId="101" xfId="0" applyFont="1" applyBorder="1"/>
    <xf numFmtId="1" fontId="1" fillId="10" borderId="102" xfId="0" applyNumberFormat="1" applyFont="1" applyFill="1" applyBorder="1" applyAlignment="1">
      <alignment horizontal="center" vertical="center" wrapText="1"/>
    </xf>
    <xf numFmtId="0" fontId="4" fillId="0" borderId="103" xfId="0" applyFont="1" applyBorder="1"/>
    <xf numFmtId="0" fontId="4" fillId="0" borderId="104" xfId="0" applyFont="1" applyBorder="1"/>
    <xf numFmtId="0" fontId="4" fillId="0" borderId="109" xfId="0" applyFont="1" applyBorder="1"/>
    <xf numFmtId="0" fontId="4" fillId="0" borderId="110" xfId="0" applyFont="1" applyBorder="1"/>
    <xf numFmtId="0" fontId="4" fillId="0" borderId="111" xfId="0" applyFont="1" applyBorder="1"/>
    <xf numFmtId="1" fontId="1" fillId="11" borderId="102" xfId="0" applyNumberFormat="1" applyFont="1" applyFill="1" applyBorder="1" applyAlignment="1">
      <alignment horizontal="center" vertical="center" wrapText="1"/>
    </xf>
    <xf numFmtId="1" fontId="1" fillId="3" borderId="98" xfId="0" applyNumberFormat="1" applyFont="1" applyFill="1" applyBorder="1" applyAlignment="1">
      <alignment horizontal="center" vertical="center" wrapText="1"/>
    </xf>
    <xf numFmtId="1" fontId="1" fillId="12" borderId="10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3793449-3/Desktop/REM%202023/00Series%202023/series%20y%20manual/Copia%20de%20SA_23_V1%2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BRE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1"/>
      <sheetName val="A11a"/>
      <sheetName val="A19a"/>
      <sheetName val="A19b"/>
      <sheetName val="A21"/>
      <sheetName val="A23"/>
      <sheetName val="A24"/>
      <sheetName val="A25"/>
      <sheetName val="A26"/>
      <sheetName val="A27"/>
      <sheetName val="A28"/>
      <sheetName val="A29"/>
      <sheetName val="A30"/>
      <sheetName val="A30AR"/>
      <sheetName val="A31"/>
      <sheetName val="A32"/>
      <sheetName val="A33"/>
      <sheetName val="Control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000"/>
  <sheetViews>
    <sheetView tabSelected="1" topLeftCell="A4" zoomScale="70" zoomScaleNormal="70" workbookViewId="0">
      <selection activeCell="E21" sqref="E21"/>
    </sheetView>
  </sheetViews>
  <sheetFormatPr baseColWidth="10" defaultColWidth="14.42578125" defaultRowHeight="15" customHeight="1"/>
  <cols>
    <col min="1" max="1" width="75.42578125" customWidth="1"/>
    <col min="2" max="2" width="16.5703125" customWidth="1"/>
    <col min="3" max="4" width="16.7109375" customWidth="1"/>
    <col min="5" max="5" width="16.5703125" customWidth="1"/>
    <col min="6" max="6" width="15.140625" customWidth="1"/>
    <col min="7" max="7" width="15.85546875" customWidth="1"/>
    <col min="8" max="8" width="18.42578125" customWidth="1"/>
    <col min="9" max="9" width="14.85546875" customWidth="1"/>
    <col min="10" max="10" width="13.42578125" customWidth="1"/>
    <col min="11" max="11" width="14.28515625" customWidth="1"/>
    <col min="12" max="12" width="11.42578125" customWidth="1"/>
    <col min="13" max="13" width="13" customWidth="1"/>
    <col min="14" max="14" width="10" customWidth="1"/>
    <col min="15" max="26" width="11.42578125" customWidth="1"/>
    <col min="27" max="27" width="14.140625" customWidth="1"/>
    <col min="28" max="28" width="15.7109375" customWidth="1"/>
    <col min="29" max="29" width="11.42578125" customWidth="1"/>
    <col min="30" max="30" width="12.28515625" customWidth="1"/>
    <col min="31" max="31" width="13.5703125" customWidth="1"/>
    <col min="32" max="76" width="11.42578125" customWidth="1"/>
    <col min="77" max="77" width="11.7109375" customWidth="1"/>
    <col min="78" max="78" width="12.28515625" customWidth="1"/>
    <col min="79" max="104" width="12.28515625" hidden="1" customWidth="1"/>
  </cols>
  <sheetData>
    <row r="1" spans="1:104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3"/>
      <c r="BZ1" s="3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</row>
    <row r="2" spans="1:104" ht="15.75" customHeight="1">
      <c r="A2" s="1" t="str">
        <f>CONCATENATE("COMUNA: ",[1]NOMBRE!B2," - ","( ",[1]NOMBRE!C2,[1]NOMBRE!D2,[1]NOMBRE!E2,[1]NOMBRE!F2,[1]NOMBRE!G2," )")</f>
        <v>COMUNA:  - (  )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3"/>
      <c r="BZ2" s="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</row>
    <row r="3" spans="1:104" ht="15.75" customHeight="1">
      <c r="A3" s="1" t="str">
        <f>CONCATENATE("ESTABLECIMIENTO/ESTRATEGIA: ",[1]NOMBRE!B3," - ","( ",[1]NOMBRE!C3,[1]NOMBRE!D3,[1]NOMBRE!E3,[1]NOMBRE!F3,[1]NOMBRE!G3,[1]NOMBRE!H3," )")</f>
        <v>ESTABLECIMIENTO/ESTRATEGIA:  - (  )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3"/>
      <c r="BZ3" s="3"/>
      <c r="CA3" s="4"/>
      <c r="CB3" s="4"/>
      <c r="CC3" s="4"/>
      <c r="CD3" s="4"/>
      <c r="CE3" s="4"/>
      <c r="CF3" s="4"/>
      <c r="CG3" s="5"/>
      <c r="CH3" s="5"/>
      <c r="CI3" s="5"/>
      <c r="CJ3" s="5"/>
      <c r="CK3" s="5"/>
      <c r="CL3" s="5"/>
      <c r="CM3" s="5"/>
      <c r="CN3" s="5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</row>
    <row r="4" spans="1:104" ht="15.75" customHeight="1">
      <c r="A4" s="1" t="str">
        <f>CONCATENATE("MES: ",[1]NOMBRE!B6," - ","( ",[1]NOMBRE!C6,[1]NOMBRE!D6," )")</f>
        <v>MES:  - (  )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3"/>
      <c r="BZ4" s="3"/>
      <c r="CA4" s="4"/>
      <c r="CB4" s="4"/>
      <c r="CC4" s="4"/>
      <c r="CD4" s="4"/>
      <c r="CE4" s="4"/>
      <c r="CF4" s="4"/>
      <c r="CG4" s="5"/>
      <c r="CH4" s="5"/>
      <c r="CI4" s="5"/>
      <c r="CJ4" s="5"/>
      <c r="CK4" s="5"/>
      <c r="CL4" s="5"/>
      <c r="CM4" s="5"/>
      <c r="CN4" s="5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</row>
    <row r="5" spans="1:104" ht="15.75" customHeight="1">
      <c r="A5" s="1" t="str">
        <f>CONCATENATE("AÑO: ",[1]NOMBRE!B7)</f>
        <v xml:space="preserve">AÑO: 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3"/>
      <c r="BZ5" s="3"/>
      <c r="CA5" s="4"/>
      <c r="CB5" s="4"/>
      <c r="CC5" s="4"/>
      <c r="CD5" s="4"/>
      <c r="CE5" s="4"/>
      <c r="CF5" s="4"/>
      <c r="CG5" s="5"/>
      <c r="CH5" s="5"/>
      <c r="CI5" s="5"/>
      <c r="CJ5" s="5"/>
      <c r="CK5" s="5"/>
      <c r="CL5" s="5"/>
      <c r="CM5" s="5"/>
      <c r="CN5" s="5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</row>
    <row r="6" spans="1:104" ht="13.5" customHeight="1">
      <c r="A6" s="185" t="s">
        <v>1</v>
      </c>
      <c r="B6" s="186"/>
      <c r="C6" s="186"/>
      <c r="D6" s="186"/>
      <c r="E6" s="186"/>
      <c r="F6" s="186"/>
      <c r="G6" s="186"/>
      <c r="H6" s="186"/>
      <c r="I6" s="186"/>
      <c r="J6" s="18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3"/>
      <c r="BZ6" s="3"/>
      <c r="CA6" s="4"/>
      <c r="CB6" s="4"/>
      <c r="CC6" s="4"/>
      <c r="CD6" s="4"/>
      <c r="CE6" s="4"/>
      <c r="CF6" s="4"/>
      <c r="CG6" s="5"/>
      <c r="CH6" s="5"/>
      <c r="CI6" s="5"/>
      <c r="CJ6" s="5"/>
      <c r="CK6" s="5"/>
      <c r="CL6" s="5"/>
      <c r="CM6" s="5"/>
      <c r="CN6" s="5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</row>
    <row r="7" spans="1:104" ht="1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8"/>
      <c r="L7" s="8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3"/>
      <c r="BZ7" s="3"/>
      <c r="CA7" s="4"/>
      <c r="CB7" s="4"/>
      <c r="CC7" s="4"/>
      <c r="CD7" s="4"/>
      <c r="CE7" s="4"/>
      <c r="CF7" s="4"/>
      <c r="CG7" s="5"/>
      <c r="CH7" s="5"/>
      <c r="CI7" s="5"/>
      <c r="CJ7" s="5"/>
      <c r="CK7" s="5"/>
      <c r="CL7" s="5"/>
      <c r="CM7" s="5"/>
      <c r="CN7" s="5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</row>
    <row r="8" spans="1:104" ht="24.75" customHeight="1">
      <c r="A8" s="9" t="s">
        <v>2</v>
      </c>
      <c r="B8" s="10"/>
      <c r="C8" s="11"/>
      <c r="D8" s="10"/>
      <c r="E8" s="1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3"/>
      <c r="BZ8" s="3"/>
      <c r="CA8" s="4"/>
      <c r="CB8" s="4"/>
      <c r="CC8" s="4"/>
      <c r="CD8" s="4"/>
      <c r="CE8" s="4"/>
      <c r="CF8" s="4"/>
      <c r="CG8" s="5"/>
      <c r="CH8" s="5"/>
      <c r="CI8" s="5"/>
      <c r="CJ8" s="5"/>
      <c r="CK8" s="5"/>
      <c r="CL8" s="5"/>
      <c r="CM8" s="5"/>
      <c r="CN8" s="5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</row>
    <row r="9" spans="1:104" ht="19.5" customHeight="1">
      <c r="A9" s="9" t="s">
        <v>3</v>
      </c>
      <c r="B9" s="12"/>
      <c r="C9" s="13"/>
      <c r="D9" s="13"/>
      <c r="E9" s="13"/>
      <c r="F9" s="13"/>
      <c r="G9" s="13"/>
      <c r="H9" s="13"/>
      <c r="I9" s="14"/>
      <c r="J9" s="14"/>
      <c r="K9" s="10"/>
      <c r="L9" s="10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3"/>
      <c r="BZ9" s="3"/>
      <c r="CA9" s="4"/>
      <c r="CB9" s="4"/>
      <c r="CC9" s="4"/>
      <c r="CD9" s="4"/>
      <c r="CE9" s="4"/>
      <c r="CF9" s="4"/>
      <c r="CG9" s="5"/>
      <c r="CH9" s="5"/>
      <c r="CI9" s="5"/>
      <c r="CJ9" s="5"/>
      <c r="CK9" s="5"/>
      <c r="CL9" s="5"/>
      <c r="CM9" s="5"/>
      <c r="CN9" s="5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</row>
    <row r="10" spans="1:104" ht="23.25" customHeight="1">
      <c r="A10" s="188" t="s">
        <v>4</v>
      </c>
      <c r="B10" s="189"/>
      <c r="C10" s="192" t="s">
        <v>5</v>
      </c>
      <c r="D10" s="194" t="s">
        <v>6</v>
      </c>
      <c r="E10" s="195"/>
      <c r="F10" s="196"/>
      <c r="G10" s="197" t="s">
        <v>7</v>
      </c>
      <c r="H10" s="195"/>
      <c r="I10" s="195"/>
      <c r="J10" s="195"/>
      <c r="K10" s="195"/>
      <c r="L10" s="198"/>
      <c r="M10" s="2"/>
      <c r="N10" s="1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4"/>
      <c r="CB10" s="4"/>
      <c r="CC10" s="4"/>
      <c r="CD10" s="4"/>
      <c r="CE10" s="4"/>
      <c r="CF10" s="4"/>
      <c r="CG10" s="5"/>
      <c r="CH10" s="5"/>
      <c r="CI10" s="5"/>
      <c r="CJ10" s="5"/>
      <c r="CK10" s="5"/>
      <c r="CL10" s="5"/>
      <c r="CM10" s="5"/>
      <c r="CN10" s="5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</row>
    <row r="11" spans="1:104" ht="24.75" customHeight="1">
      <c r="A11" s="190"/>
      <c r="B11" s="191"/>
      <c r="C11" s="193"/>
      <c r="D11" s="16" t="s">
        <v>8</v>
      </c>
      <c r="E11" s="16" t="s">
        <v>9</v>
      </c>
      <c r="F11" s="17" t="s">
        <v>10</v>
      </c>
      <c r="G11" s="18" t="s">
        <v>11</v>
      </c>
      <c r="H11" s="16" t="s">
        <v>12</v>
      </c>
      <c r="I11" s="16" t="s">
        <v>13</v>
      </c>
      <c r="J11" s="16" t="s">
        <v>14</v>
      </c>
      <c r="K11" s="16" t="s">
        <v>15</v>
      </c>
      <c r="L11" s="16" t="s">
        <v>16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3"/>
      <c r="BY11" s="3"/>
      <c r="BZ11" s="3"/>
      <c r="CA11" s="4"/>
      <c r="CB11" s="4"/>
      <c r="CC11" s="4"/>
      <c r="CD11" s="4"/>
      <c r="CE11" s="4"/>
      <c r="CF11" s="4"/>
      <c r="CG11" s="5"/>
      <c r="CH11" s="5"/>
      <c r="CI11" s="5"/>
      <c r="CJ11" s="5"/>
      <c r="CK11" s="5"/>
      <c r="CL11" s="5"/>
      <c r="CM11" s="5"/>
      <c r="CN11" s="5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</row>
    <row r="12" spans="1:104" ht="17.25" customHeight="1">
      <c r="A12" s="199" t="s">
        <v>17</v>
      </c>
      <c r="B12" s="200"/>
      <c r="C12" s="19">
        <v>18</v>
      </c>
      <c r="D12" s="20"/>
      <c r="E12" s="21"/>
      <c r="F12" s="22">
        <v>18</v>
      </c>
      <c r="G12" s="23"/>
      <c r="H12" s="21">
        <v>8</v>
      </c>
      <c r="I12" s="21">
        <v>10</v>
      </c>
      <c r="J12" s="21"/>
      <c r="K12" s="21"/>
      <c r="L12" s="21"/>
      <c r="M12" s="24" t="str">
        <f t="shared" ref="M12:M18" si="0">CA12</f>
        <v/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3"/>
      <c r="BY12" s="3"/>
      <c r="BZ12" s="3"/>
      <c r="CA12" s="4" t="str">
        <f t="shared" ref="CA12:CA18" si="1">IF(CG12=1," * La Suma de Personas por Origen de Derivación no puede ser Mayor a la suma de Personas por Edad. ","")</f>
        <v/>
      </c>
      <c r="CB12" s="4"/>
      <c r="CC12" s="4"/>
      <c r="CD12" s="4"/>
      <c r="CE12" s="4"/>
      <c r="CF12" s="4"/>
      <c r="CG12" s="5">
        <f t="shared" ref="CG12:CG18" si="2">IF(SUM(G12:L12)&gt;C12,1,0)</f>
        <v>0</v>
      </c>
      <c r="CH12" s="5"/>
      <c r="CI12" s="5"/>
      <c r="CJ12" s="5"/>
      <c r="CK12" s="5"/>
      <c r="CL12" s="5"/>
      <c r="CM12" s="5"/>
      <c r="CN12" s="5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</row>
    <row r="13" spans="1:104" ht="17.25" customHeight="1">
      <c r="A13" s="25" t="s">
        <v>18</v>
      </c>
      <c r="B13" s="26"/>
      <c r="C13" s="19">
        <v>18</v>
      </c>
      <c r="D13" s="21"/>
      <c r="E13" s="21"/>
      <c r="F13" s="22">
        <v>18</v>
      </c>
      <c r="G13" s="23"/>
      <c r="H13" s="21">
        <v>8</v>
      </c>
      <c r="I13" s="21">
        <v>10</v>
      </c>
      <c r="J13" s="21"/>
      <c r="K13" s="21"/>
      <c r="L13" s="21"/>
      <c r="M13" s="24" t="str">
        <f t="shared" si="0"/>
        <v/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3"/>
      <c r="BY13" s="3"/>
      <c r="BZ13" s="3"/>
      <c r="CA13" s="4" t="str">
        <f t="shared" si="1"/>
        <v/>
      </c>
      <c r="CB13" s="4"/>
      <c r="CC13" s="4"/>
      <c r="CD13" s="4"/>
      <c r="CE13" s="4"/>
      <c r="CF13" s="4"/>
      <c r="CG13" s="5">
        <f t="shared" si="2"/>
        <v>0</v>
      </c>
      <c r="CH13" s="5"/>
      <c r="CI13" s="5"/>
      <c r="CJ13" s="5"/>
      <c r="CK13" s="5"/>
      <c r="CL13" s="5"/>
      <c r="CM13" s="5"/>
      <c r="CN13" s="5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</row>
    <row r="14" spans="1:104" ht="17.25" customHeight="1">
      <c r="A14" s="25" t="s">
        <v>19</v>
      </c>
      <c r="B14" s="26"/>
      <c r="C14" s="19">
        <v>83</v>
      </c>
      <c r="D14" s="21"/>
      <c r="E14" s="21"/>
      <c r="F14" s="22"/>
      <c r="G14" s="23"/>
      <c r="H14" s="21"/>
      <c r="I14" s="21"/>
      <c r="J14" s="21"/>
      <c r="K14" s="21"/>
      <c r="L14" s="21"/>
      <c r="M14" s="24" t="str">
        <f t="shared" si="0"/>
        <v/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3"/>
      <c r="BY14" s="3"/>
      <c r="BZ14" s="3"/>
      <c r="CA14" s="4" t="str">
        <f t="shared" si="1"/>
        <v/>
      </c>
      <c r="CB14" s="4"/>
      <c r="CC14" s="4"/>
      <c r="CD14" s="4"/>
      <c r="CE14" s="4"/>
      <c r="CF14" s="4"/>
      <c r="CG14" s="5">
        <f t="shared" si="2"/>
        <v>0</v>
      </c>
      <c r="CH14" s="5"/>
      <c r="CI14" s="5"/>
      <c r="CJ14" s="5"/>
      <c r="CK14" s="5"/>
      <c r="CL14" s="5"/>
      <c r="CM14" s="5"/>
      <c r="CN14" s="5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</row>
    <row r="15" spans="1:104" ht="17.25" customHeight="1">
      <c r="A15" s="27" t="s">
        <v>20</v>
      </c>
      <c r="B15" s="28"/>
      <c r="C15" s="29">
        <v>7</v>
      </c>
      <c r="D15" s="30"/>
      <c r="E15" s="30"/>
      <c r="F15" s="31">
        <v>7</v>
      </c>
      <c r="G15" s="32"/>
      <c r="H15" s="30"/>
      <c r="I15" s="30"/>
      <c r="J15" s="30"/>
      <c r="K15" s="30"/>
      <c r="L15" s="30"/>
      <c r="M15" s="24" t="str">
        <f t="shared" si="0"/>
        <v/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3"/>
      <c r="BY15" s="3"/>
      <c r="BZ15" s="3"/>
      <c r="CA15" s="4" t="str">
        <f t="shared" si="1"/>
        <v/>
      </c>
      <c r="CB15" s="4"/>
      <c r="CC15" s="4"/>
      <c r="CD15" s="4"/>
      <c r="CE15" s="4"/>
      <c r="CF15" s="4"/>
      <c r="CG15" s="5">
        <f t="shared" si="2"/>
        <v>0</v>
      </c>
      <c r="CH15" s="5"/>
      <c r="CI15" s="5"/>
      <c r="CJ15" s="5"/>
      <c r="CK15" s="5"/>
      <c r="CL15" s="5"/>
      <c r="CM15" s="5"/>
      <c r="CN15" s="5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</row>
    <row r="16" spans="1:104" ht="17.25" customHeight="1">
      <c r="A16" s="201" t="s">
        <v>21</v>
      </c>
      <c r="B16" s="33" t="s">
        <v>22</v>
      </c>
      <c r="C16" s="19">
        <f t="shared" ref="C16:C17" si="3">SUM(D16:F16)</f>
        <v>0</v>
      </c>
      <c r="D16" s="21"/>
      <c r="E16" s="21"/>
      <c r="F16" s="22"/>
      <c r="G16" s="23"/>
      <c r="H16" s="21"/>
      <c r="I16" s="21"/>
      <c r="J16" s="21"/>
      <c r="K16" s="21"/>
      <c r="L16" s="21"/>
      <c r="M16" s="24" t="str">
        <f t="shared" si="0"/>
        <v/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3"/>
      <c r="BY16" s="3"/>
      <c r="BZ16" s="3"/>
      <c r="CA16" s="4" t="str">
        <f t="shared" si="1"/>
        <v/>
      </c>
      <c r="CB16" s="4"/>
      <c r="CC16" s="4"/>
      <c r="CD16" s="4"/>
      <c r="CE16" s="4"/>
      <c r="CF16" s="4"/>
      <c r="CG16" s="5">
        <f t="shared" si="2"/>
        <v>0</v>
      </c>
      <c r="CH16" s="5"/>
      <c r="CI16" s="5"/>
      <c r="CJ16" s="5"/>
      <c r="CK16" s="5"/>
      <c r="CL16" s="5"/>
      <c r="CM16" s="5"/>
      <c r="CN16" s="5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</row>
    <row r="17" spans="1:104" ht="17.25" customHeight="1">
      <c r="A17" s="193"/>
      <c r="B17" s="27" t="s">
        <v>23</v>
      </c>
      <c r="C17" s="34">
        <f t="shared" si="3"/>
        <v>0</v>
      </c>
      <c r="D17" s="35"/>
      <c r="E17" s="35"/>
      <c r="F17" s="36"/>
      <c r="G17" s="37"/>
      <c r="H17" s="35"/>
      <c r="I17" s="35"/>
      <c r="J17" s="35"/>
      <c r="K17" s="35"/>
      <c r="L17" s="35"/>
      <c r="M17" s="24" t="str">
        <f t="shared" si="0"/>
        <v/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3"/>
      <c r="BY17" s="3"/>
      <c r="BZ17" s="3"/>
      <c r="CA17" s="4" t="str">
        <f t="shared" si="1"/>
        <v/>
      </c>
      <c r="CB17" s="4"/>
      <c r="CC17" s="4"/>
      <c r="CD17" s="4"/>
      <c r="CE17" s="4"/>
      <c r="CF17" s="4"/>
      <c r="CG17" s="5">
        <f t="shared" si="2"/>
        <v>0</v>
      </c>
      <c r="CH17" s="5"/>
      <c r="CI17" s="5"/>
      <c r="CJ17" s="5"/>
      <c r="CK17" s="5"/>
      <c r="CL17" s="5"/>
      <c r="CM17" s="5"/>
      <c r="CN17" s="5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</row>
    <row r="18" spans="1:104" ht="17.25" customHeight="1">
      <c r="A18" s="202" t="s">
        <v>24</v>
      </c>
      <c r="B18" s="191"/>
      <c r="C18" s="38">
        <v>1</v>
      </c>
      <c r="D18" s="35"/>
      <c r="E18" s="35"/>
      <c r="F18" s="36">
        <v>1</v>
      </c>
      <c r="G18" s="37"/>
      <c r="H18" s="35"/>
      <c r="I18" s="35">
        <v>1</v>
      </c>
      <c r="J18" s="35"/>
      <c r="K18" s="35"/>
      <c r="L18" s="35"/>
      <c r="M18" s="24" t="str">
        <f t="shared" si="0"/>
        <v/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3"/>
      <c r="BY18" s="3"/>
      <c r="BZ18" s="3"/>
      <c r="CA18" s="4" t="str">
        <f t="shared" si="1"/>
        <v/>
      </c>
      <c r="CB18" s="4"/>
      <c r="CC18" s="4"/>
      <c r="CD18" s="4"/>
      <c r="CE18" s="4"/>
      <c r="CF18" s="4"/>
      <c r="CG18" s="5">
        <f t="shared" si="2"/>
        <v>0</v>
      </c>
      <c r="CH18" s="5"/>
      <c r="CI18" s="5"/>
      <c r="CJ18" s="5"/>
      <c r="CK18" s="5"/>
      <c r="CL18" s="5"/>
      <c r="CM18" s="5"/>
      <c r="CN18" s="5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</row>
    <row r="19" spans="1:104" ht="23.25" customHeight="1">
      <c r="A19" s="39" t="s">
        <v>25</v>
      </c>
      <c r="B19" s="10"/>
      <c r="C19" s="12"/>
      <c r="D19" s="40"/>
      <c r="E19" s="40"/>
      <c r="F19" s="40"/>
      <c r="G19" s="40"/>
      <c r="H19" s="40"/>
      <c r="I19" s="40"/>
      <c r="J19" s="40"/>
      <c r="K19" s="40"/>
      <c r="L19" s="40"/>
      <c r="M19" s="4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3"/>
      <c r="BZ19" s="3"/>
      <c r="CA19" s="4"/>
      <c r="CB19" s="4"/>
      <c r="CC19" s="4"/>
      <c r="CD19" s="4"/>
      <c r="CE19" s="4"/>
      <c r="CF19" s="4"/>
      <c r="CG19" s="5"/>
      <c r="CH19" s="5"/>
      <c r="CI19" s="5"/>
      <c r="CJ19" s="5"/>
      <c r="CK19" s="5"/>
      <c r="CL19" s="5"/>
      <c r="CM19" s="5"/>
      <c r="CN19" s="5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</row>
    <row r="20" spans="1:104" ht="28.5" customHeight="1">
      <c r="A20" s="16" t="s">
        <v>26</v>
      </c>
      <c r="B20" s="16" t="s">
        <v>27</v>
      </c>
      <c r="C20" s="11"/>
      <c r="D20" s="10"/>
      <c r="E20" s="10"/>
      <c r="F20" s="10"/>
      <c r="G20" s="4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3"/>
      <c r="BT20" s="3"/>
      <c r="BU20" s="2"/>
      <c r="BV20" s="2"/>
      <c r="BW20" s="2"/>
      <c r="BX20" s="2"/>
      <c r="BY20" s="3"/>
      <c r="BZ20" s="3"/>
      <c r="CA20" s="4"/>
      <c r="CB20" s="4"/>
      <c r="CC20" s="4"/>
      <c r="CD20" s="4"/>
      <c r="CE20" s="4"/>
      <c r="CF20" s="4"/>
      <c r="CG20" s="5"/>
      <c r="CH20" s="5"/>
      <c r="CI20" s="5"/>
      <c r="CJ20" s="5"/>
      <c r="CK20" s="5"/>
      <c r="CL20" s="5"/>
      <c r="CM20" s="5"/>
      <c r="CN20" s="5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</row>
    <row r="21" spans="1:104" ht="16.5" customHeight="1">
      <c r="A21" s="19" t="s">
        <v>28</v>
      </c>
      <c r="B21" s="21">
        <v>16</v>
      </c>
      <c r="C21" s="11"/>
      <c r="D21" s="10"/>
      <c r="E21" s="10"/>
      <c r="F21" s="10"/>
      <c r="G21" s="4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3"/>
      <c r="BT21" s="3"/>
      <c r="BU21" s="2"/>
      <c r="BV21" s="2"/>
      <c r="BW21" s="2"/>
      <c r="BX21" s="2"/>
      <c r="BY21" s="3"/>
      <c r="BZ21" s="3"/>
      <c r="CA21" s="4"/>
      <c r="CB21" s="4"/>
      <c r="CC21" s="4"/>
      <c r="CD21" s="4"/>
      <c r="CE21" s="4"/>
      <c r="CF21" s="4"/>
      <c r="CG21" s="5"/>
      <c r="CH21" s="5"/>
      <c r="CI21" s="5"/>
      <c r="CJ21" s="5"/>
      <c r="CK21" s="5"/>
      <c r="CL21" s="5"/>
      <c r="CM21" s="5"/>
      <c r="CN21" s="5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</row>
    <row r="22" spans="1:104" ht="16.5" customHeight="1">
      <c r="A22" s="19" t="s">
        <v>29</v>
      </c>
      <c r="B22" s="21">
        <v>57</v>
      </c>
      <c r="C22" s="11"/>
      <c r="D22" s="10"/>
      <c r="E22" s="10"/>
      <c r="F22" s="10"/>
      <c r="G22" s="4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3"/>
      <c r="BT22" s="3"/>
      <c r="BU22" s="2"/>
      <c r="BV22" s="2"/>
      <c r="BW22" s="2"/>
      <c r="BX22" s="2"/>
      <c r="BY22" s="3"/>
      <c r="BZ22" s="3"/>
      <c r="CA22" s="4"/>
      <c r="CB22" s="4"/>
      <c r="CC22" s="4"/>
      <c r="CD22" s="4"/>
      <c r="CE22" s="4"/>
      <c r="CF22" s="4"/>
      <c r="CG22" s="5"/>
      <c r="CH22" s="5"/>
      <c r="CI22" s="5"/>
      <c r="CJ22" s="5"/>
      <c r="CK22" s="5"/>
      <c r="CL22" s="5"/>
      <c r="CM22" s="5"/>
      <c r="CN22" s="5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</row>
    <row r="23" spans="1:104" ht="16.5" customHeight="1">
      <c r="A23" s="19" t="s">
        <v>30</v>
      </c>
      <c r="B23" s="21">
        <v>16</v>
      </c>
      <c r="C23" s="11"/>
      <c r="D23" s="10"/>
      <c r="E23" s="10"/>
      <c r="F23" s="10"/>
      <c r="G23" s="4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3"/>
      <c r="BT23" s="3"/>
      <c r="BU23" s="2"/>
      <c r="BV23" s="2"/>
      <c r="BW23" s="2"/>
      <c r="BX23" s="2"/>
      <c r="BY23" s="3"/>
      <c r="BZ23" s="3"/>
      <c r="CA23" s="4"/>
      <c r="CB23" s="4"/>
      <c r="CC23" s="4"/>
      <c r="CD23" s="4"/>
      <c r="CE23" s="4"/>
      <c r="CF23" s="4"/>
      <c r="CG23" s="5"/>
      <c r="CH23" s="5"/>
      <c r="CI23" s="5"/>
      <c r="CJ23" s="5"/>
      <c r="CK23" s="5"/>
      <c r="CL23" s="5"/>
      <c r="CM23" s="5"/>
      <c r="CN23" s="5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</row>
    <row r="24" spans="1:104" ht="16.5" customHeight="1">
      <c r="A24" s="42" t="s">
        <v>31</v>
      </c>
      <c r="B24" s="43" t="s">
        <v>32</v>
      </c>
      <c r="C24" s="11"/>
      <c r="D24" s="10"/>
      <c r="E24" s="10"/>
      <c r="F24" s="10"/>
      <c r="G24" s="4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3"/>
      <c r="BT24" s="3"/>
      <c r="BU24" s="2"/>
      <c r="BV24" s="2"/>
      <c r="BW24" s="2"/>
      <c r="BX24" s="2"/>
      <c r="BY24" s="3"/>
      <c r="BZ24" s="3"/>
      <c r="CA24" s="4"/>
      <c r="CB24" s="4"/>
      <c r="CC24" s="4"/>
      <c r="CD24" s="4"/>
      <c r="CE24" s="4"/>
      <c r="CF24" s="4"/>
      <c r="CG24" s="5"/>
      <c r="CH24" s="5"/>
      <c r="CI24" s="5"/>
      <c r="CJ24" s="5"/>
      <c r="CK24" s="5"/>
      <c r="CL24" s="5"/>
      <c r="CM24" s="5"/>
      <c r="CN24" s="5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</row>
    <row r="25" spans="1:104" ht="16.5" customHeight="1">
      <c r="A25" s="19" t="s">
        <v>33</v>
      </c>
      <c r="B25" s="21">
        <v>27</v>
      </c>
      <c r="C25" s="11"/>
      <c r="D25" s="10"/>
      <c r="E25" s="10"/>
      <c r="F25" s="10"/>
      <c r="G25" s="4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3"/>
      <c r="BT25" s="3"/>
      <c r="BU25" s="2"/>
      <c r="BV25" s="2"/>
      <c r="BW25" s="2"/>
      <c r="BX25" s="2"/>
      <c r="BY25" s="3"/>
      <c r="BZ25" s="3"/>
      <c r="CA25" s="4"/>
      <c r="CB25" s="4"/>
      <c r="CC25" s="4"/>
      <c r="CD25" s="4"/>
      <c r="CE25" s="4"/>
      <c r="CF25" s="4"/>
      <c r="CG25" s="5"/>
      <c r="CH25" s="5"/>
      <c r="CI25" s="5"/>
      <c r="CJ25" s="5"/>
      <c r="CK25" s="5"/>
      <c r="CL25" s="5"/>
      <c r="CM25" s="5"/>
      <c r="CN25" s="5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</row>
    <row r="26" spans="1:104" ht="16.5" customHeight="1">
      <c r="A26" s="42" t="s">
        <v>34</v>
      </c>
      <c r="B26" s="43" t="s">
        <v>35</v>
      </c>
      <c r="C26" s="11"/>
      <c r="D26" s="10"/>
      <c r="E26" s="10"/>
      <c r="F26" s="10"/>
      <c r="G26" s="4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3"/>
      <c r="BT26" s="3"/>
      <c r="BU26" s="2"/>
      <c r="BV26" s="2"/>
      <c r="BW26" s="2"/>
      <c r="BX26" s="2"/>
      <c r="BY26" s="3"/>
      <c r="BZ26" s="3"/>
      <c r="CA26" s="4"/>
      <c r="CB26" s="4"/>
      <c r="CC26" s="4"/>
      <c r="CD26" s="4"/>
      <c r="CE26" s="4"/>
      <c r="CF26" s="4"/>
      <c r="CG26" s="5"/>
      <c r="CH26" s="5"/>
      <c r="CI26" s="5"/>
      <c r="CJ26" s="5"/>
      <c r="CK26" s="5"/>
      <c r="CL26" s="5"/>
      <c r="CM26" s="5"/>
      <c r="CN26" s="5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</row>
    <row r="27" spans="1:104" ht="16.5" customHeight="1">
      <c r="A27" s="19" t="s">
        <v>36</v>
      </c>
      <c r="B27" s="21">
        <v>7</v>
      </c>
      <c r="C27" s="11"/>
      <c r="D27" s="10"/>
      <c r="E27" s="10"/>
      <c r="F27" s="10"/>
      <c r="G27" s="4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3"/>
      <c r="BT27" s="3"/>
      <c r="BU27" s="2"/>
      <c r="BV27" s="2"/>
      <c r="BW27" s="2"/>
      <c r="BX27" s="2"/>
      <c r="BY27" s="3"/>
      <c r="BZ27" s="3"/>
      <c r="CA27" s="4"/>
      <c r="CB27" s="4"/>
      <c r="CC27" s="4"/>
      <c r="CD27" s="4"/>
      <c r="CE27" s="4"/>
      <c r="CF27" s="4"/>
      <c r="CG27" s="5"/>
      <c r="CH27" s="5"/>
      <c r="CI27" s="5"/>
      <c r="CJ27" s="5"/>
      <c r="CK27" s="5"/>
      <c r="CL27" s="5"/>
      <c r="CM27" s="5"/>
      <c r="CN27" s="5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</row>
    <row r="28" spans="1:104" ht="16.5" customHeight="1">
      <c r="A28" s="44" t="s">
        <v>37</v>
      </c>
      <c r="B28" s="45">
        <v>4</v>
      </c>
      <c r="C28" s="11"/>
      <c r="D28" s="10"/>
      <c r="E28" s="10"/>
      <c r="F28" s="10"/>
      <c r="G28" s="4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3"/>
      <c r="BT28" s="3"/>
      <c r="BU28" s="2"/>
      <c r="BV28" s="2"/>
      <c r="BW28" s="2"/>
      <c r="BX28" s="2"/>
      <c r="BY28" s="3"/>
      <c r="BZ28" s="3"/>
      <c r="CA28" s="4"/>
      <c r="CB28" s="4"/>
      <c r="CC28" s="4"/>
      <c r="CD28" s="4"/>
      <c r="CE28" s="4"/>
      <c r="CF28" s="4"/>
      <c r="CG28" s="5"/>
      <c r="CH28" s="5"/>
      <c r="CI28" s="5"/>
      <c r="CJ28" s="5"/>
      <c r="CK28" s="5"/>
      <c r="CL28" s="5"/>
      <c r="CM28" s="5"/>
      <c r="CN28" s="5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</row>
    <row r="29" spans="1:104" ht="16.5" customHeight="1">
      <c r="A29" s="46" t="s">
        <v>38</v>
      </c>
      <c r="B29" s="47" t="s">
        <v>35</v>
      </c>
      <c r="C29" s="11"/>
      <c r="D29" s="10"/>
      <c r="E29" s="10"/>
      <c r="F29" s="10"/>
      <c r="G29" s="4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3"/>
      <c r="BT29" s="3"/>
      <c r="BU29" s="2"/>
      <c r="BV29" s="2"/>
      <c r="BW29" s="2"/>
      <c r="BX29" s="2"/>
      <c r="BY29" s="3"/>
      <c r="BZ29" s="3"/>
      <c r="CA29" s="4"/>
      <c r="CB29" s="4"/>
      <c r="CC29" s="4"/>
      <c r="CD29" s="4"/>
      <c r="CE29" s="4"/>
      <c r="CF29" s="4"/>
      <c r="CG29" s="5"/>
      <c r="CH29" s="5"/>
      <c r="CI29" s="5"/>
      <c r="CJ29" s="5"/>
      <c r="CK29" s="5"/>
      <c r="CL29" s="5"/>
      <c r="CM29" s="5"/>
      <c r="CN29" s="5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</row>
    <row r="30" spans="1:104" ht="29.25" customHeight="1">
      <c r="A30" s="48" t="s">
        <v>39</v>
      </c>
      <c r="B30" s="12"/>
      <c r="C30" s="2"/>
      <c r="D30" s="40"/>
      <c r="E30" s="40"/>
      <c r="F30" s="10"/>
      <c r="G30" s="10"/>
      <c r="H30" s="10"/>
      <c r="I30" s="10"/>
      <c r="J30" s="10"/>
      <c r="K30" s="10"/>
      <c r="L30" s="10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3"/>
      <c r="BW30" s="3"/>
      <c r="BX30" s="2"/>
      <c r="BY30" s="3"/>
      <c r="BZ30" s="3"/>
      <c r="CA30" s="4"/>
      <c r="CB30" s="4"/>
      <c r="CC30" s="4"/>
      <c r="CD30" s="4"/>
      <c r="CE30" s="4"/>
      <c r="CF30" s="4"/>
      <c r="CG30" s="5"/>
      <c r="CH30" s="5"/>
      <c r="CI30" s="5"/>
      <c r="CJ30" s="5"/>
      <c r="CK30" s="5"/>
      <c r="CL30" s="5"/>
      <c r="CM30" s="5"/>
      <c r="CN30" s="5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</row>
    <row r="31" spans="1:104" ht="32.25" customHeight="1">
      <c r="A31" s="16" t="s">
        <v>4</v>
      </c>
      <c r="B31" s="16" t="s">
        <v>5</v>
      </c>
      <c r="C31" s="16" t="s">
        <v>40</v>
      </c>
      <c r="D31" s="16" t="s">
        <v>41</v>
      </c>
      <c r="E31" s="16" t="s">
        <v>42</v>
      </c>
      <c r="F31" s="10"/>
      <c r="G31" s="10"/>
      <c r="H31" s="10"/>
      <c r="I31" s="10"/>
      <c r="J31" s="10"/>
      <c r="K31" s="10"/>
      <c r="L31" s="10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3"/>
      <c r="BW31" s="3"/>
      <c r="BX31" s="2"/>
      <c r="BY31" s="3"/>
      <c r="BZ31" s="3"/>
      <c r="CA31" s="4"/>
      <c r="CB31" s="4"/>
      <c r="CC31" s="4"/>
      <c r="CD31" s="4"/>
      <c r="CE31" s="4"/>
      <c r="CF31" s="4"/>
      <c r="CG31" s="5"/>
      <c r="CH31" s="5"/>
      <c r="CI31" s="5"/>
      <c r="CJ31" s="5"/>
      <c r="CK31" s="5"/>
      <c r="CL31" s="5"/>
      <c r="CM31" s="5"/>
      <c r="CN31" s="5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</row>
    <row r="32" spans="1:104" ht="21.75" customHeight="1">
      <c r="A32" s="19" t="s">
        <v>43</v>
      </c>
      <c r="B32" s="49">
        <v>20</v>
      </c>
      <c r="C32" s="50">
        <v>20</v>
      </c>
      <c r="D32" s="50">
        <v>0</v>
      </c>
      <c r="E32" s="50">
        <v>20</v>
      </c>
      <c r="F32" s="10"/>
      <c r="G32" s="10"/>
      <c r="H32" s="10"/>
      <c r="I32" s="10"/>
      <c r="J32" s="10"/>
      <c r="K32" s="10"/>
      <c r="L32" s="1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3"/>
      <c r="BW32" s="3"/>
      <c r="BX32" s="2"/>
      <c r="BY32" s="3"/>
      <c r="BZ32" s="3"/>
      <c r="CA32" s="4"/>
      <c r="CB32" s="4"/>
      <c r="CC32" s="4"/>
      <c r="CD32" s="4"/>
      <c r="CE32" s="4"/>
      <c r="CF32" s="4"/>
      <c r="CG32" s="5"/>
      <c r="CH32" s="5"/>
      <c r="CI32" s="5"/>
      <c r="CJ32" s="5"/>
      <c r="CK32" s="5"/>
      <c r="CL32" s="5"/>
      <c r="CM32" s="5"/>
      <c r="CN32" s="5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</row>
    <row r="33" spans="1:104" ht="21.75" customHeight="1">
      <c r="A33" s="19" t="s">
        <v>44</v>
      </c>
      <c r="B33" s="49">
        <v>18</v>
      </c>
      <c r="C33" s="50"/>
      <c r="D33" s="50"/>
      <c r="E33" s="50"/>
      <c r="F33" s="10"/>
      <c r="G33" s="10"/>
      <c r="H33" s="10"/>
      <c r="I33" s="10"/>
      <c r="J33" s="10"/>
      <c r="K33" s="10"/>
      <c r="L33" s="1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3"/>
      <c r="BW33" s="3"/>
      <c r="BX33" s="2"/>
      <c r="BY33" s="3"/>
      <c r="BZ33" s="3"/>
      <c r="CA33" s="4"/>
      <c r="CB33" s="4"/>
      <c r="CC33" s="4"/>
      <c r="CD33" s="4"/>
      <c r="CE33" s="4"/>
      <c r="CF33" s="4"/>
      <c r="CG33" s="5"/>
      <c r="CH33" s="5"/>
      <c r="CI33" s="5"/>
      <c r="CJ33" s="5"/>
      <c r="CK33" s="5"/>
      <c r="CL33" s="5"/>
      <c r="CM33" s="5"/>
      <c r="CN33" s="5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</row>
    <row r="34" spans="1:104" ht="21.75" customHeight="1">
      <c r="A34" s="29" t="s">
        <v>45</v>
      </c>
      <c r="B34" s="51">
        <v>2</v>
      </c>
      <c r="C34" s="52"/>
      <c r="D34" s="52"/>
      <c r="E34" s="52"/>
      <c r="F34" s="10"/>
      <c r="G34" s="10"/>
      <c r="H34" s="10"/>
      <c r="I34" s="10"/>
      <c r="J34" s="10"/>
      <c r="K34" s="10"/>
      <c r="L34" s="1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3"/>
      <c r="BW34" s="3"/>
      <c r="BX34" s="2"/>
      <c r="BY34" s="3"/>
      <c r="BZ34" s="3"/>
      <c r="CA34" s="4"/>
      <c r="CB34" s="4"/>
      <c r="CC34" s="4"/>
      <c r="CD34" s="4"/>
      <c r="CE34" s="4"/>
      <c r="CF34" s="4"/>
      <c r="CG34" s="5"/>
      <c r="CH34" s="5"/>
      <c r="CI34" s="5"/>
      <c r="CJ34" s="5"/>
      <c r="CK34" s="5"/>
      <c r="CL34" s="5"/>
      <c r="CM34" s="5"/>
      <c r="CN34" s="5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</row>
    <row r="35" spans="1:104" ht="29.25" customHeight="1">
      <c r="A35" s="53" t="s">
        <v>46</v>
      </c>
      <c r="B35" s="54"/>
      <c r="C35" s="12"/>
      <c r="D35" s="12"/>
      <c r="E35" s="13"/>
      <c r="F35" s="13"/>
      <c r="G35" s="13"/>
      <c r="H35" s="13"/>
      <c r="I35" s="13"/>
      <c r="J35" s="10"/>
      <c r="K35" s="10"/>
      <c r="L35" s="10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3"/>
      <c r="BW35" s="3"/>
      <c r="BX35" s="2"/>
      <c r="BY35" s="3"/>
      <c r="BZ35" s="3"/>
      <c r="CA35" s="4"/>
      <c r="CB35" s="4"/>
      <c r="CC35" s="4"/>
      <c r="CD35" s="4"/>
      <c r="CE35" s="4"/>
      <c r="CF35" s="4"/>
      <c r="CG35" s="5"/>
      <c r="CH35" s="5"/>
      <c r="CI35" s="5"/>
      <c r="CJ35" s="5"/>
      <c r="CK35" s="5"/>
      <c r="CL35" s="5"/>
      <c r="CM35" s="5"/>
      <c r="CN35" s="5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</row>
    <row r="36" spans="1:104" ht="33" customHeight="1">
      <c r="A36" s="16" t="s">
        <v>47</v>
      </c>
      <c r="B36" s="16" t="s">
        <v>5</v>
      </c>
      <c r="C36" s="55" t="s">
        <v>48</v>
      </c>
      <c r="D36" s="56" t="s">
        <v>49</v>
      </c>
      <c r="E36" s="57" t="s">
        <v>10</v>
      </c>
      <c r="F36" s="18" t="s">
        <v>42</v>
      </c>
      <c r="G36" s="13"/>
      <c r="H36" s="13"/>
      <c r="I36" s="13"/>
      <c r="J36" s="10"/>
      <c r="K36" s="10"/>
      <c r="L36" s="1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3"/>
      <c r="BW36" s="3"/>
      <c r="BX36" s="2"/>
      <c r="BY36" s="3"/>
      <c r="BZ36" s="3"/>
      <c r="CA36" s="4"/>
      <c r="CB36" s="4"/>
      <c r="CC36" s="4"/>
      <c r="CD36" s="4"/>
      <c r="CE36" s="4"/>
      <c r="CF36" s="4"/>
      <c r="CG36" s="5"/>
      <c r="CH36" s="5"/>
      <c r="CI36" s="5"/>
      <c r="CJ36" s="5"/>
      <c r="CK36" s="5"/>
      <c r="CL36" s="5"/>
      <c r="CM36" s="5"/>
      <c r="CN36" s="5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</row>
    <row r="37" spans="1:104" ht="21.75" customHeight="1">
      <c r="A37" s="58" t="s">
        <v>50</v>
      </c>
      <c r="B37" s="59">
        <f t="shared" ref="B37:B39" si="4">SUM(C37:E37)</f>
        <v>0</v>
      </c>
      <c r="C37" s="60"/>
      <c r="D37" s="61"/>
      <c r="E37" s="62"/>
      <c r="F37" s="63"/>
      <c r="G37" s="13"/>
      <c r="H37" s="13"/>
      <c r="I37" s="13"/>
      <c r="J37" s="10"/>
      <c r="K37" s="10"/>
      <c r="L37" s="10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3"/>
      <c r="BW37" s="3"/>
      <c r="BX37" s="2"/>
      <c r="BY37" s="3"/>
      <c r="BZ37" s="3"/>
      <c r="CA37" s="4"/>
      <c r="CB37" s="4"/>
      <c r="CC37" s="4"/>
      <c r="CD37" s="4"/>
      <c r="CE37" s="4"/>
      <c r="CF37" s="4"/>
      <c r="CG37" s="5"/>
      <c r="CH37" s="5"/>
      <c r="CI37" s="5"/>
      <c r="CJ37" s="5"/>
      <c r="CK37" s="5"/>
      <c r="CL37" s="5"/>
      <c r="CM37" s="5"/>
      <c r="CN37" s="5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</row>
    <row r="38" spans="1:104" ht="21.75" customHeight="1">
      <c r="A38" s="64" t="s">
        <v>51</v>
      </c>
      <c r="B38" s="65">
        <f t="shared" si="4"/>
        <v>0</v>
      </c>
      <c r="C38" s="66"/>
      <c r="D38" s="67"/>
      <c r="E38" s="68"/>
      <c r="F38" s="63"/>
      <c r="G38" s="13"/>
      <c r="H38" s="13"/>
      <c r="I38" s="13"/>
      <c r="J38" s="10"/>
      <c r="K38" s="10"/>
      <c r="L38" s="1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3"/>
      <c r="BW38" s="3"/>
      <c r="BX38" s="2"/>
      <c r="BY38" s="3"/>
      <c r="BZ38" s="3"/>
      <c r="CA38" s="4"/>
      <c r="CB38" s="4"/>
      <c r="CC38" s="4"/>
      <c r="CD38" s="4"/>
      <c r="CE38" s="4"/>
      <c r="CF38" s="4"/>
      <c r="CG38" s="5"/>
      <c r="CH38" s="5"/>
      <c r="CI38" s="5"/>
      <c r="CJ38" s="5"/>
      <c r="CK38" s="5"/>
      <c r="CL38" s="5"/>
      <c r="CM38" s="5"/>
      <c r="CN38" s="5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</row>
    <row r="39" spans="1:104" ht="21.75" customHeight="1">
      <c r="A39" s="69" t="s">
        <v>52</v>
      </c>
      <c r="B39" s="70">
        <f t="shared" si="4"/>
        <v>0</v>
      </c>
      <c r="C39" s="71"/>
      <c r="D39" s="72"/>
      <c r="E39" s="73"/>
      <c r="F39" s="74"/>
      <c r="G39" s="13"/>
      <c r="H39" s="13"/>
      <c r="I39" s="13"/>
      <c r="J39" s="10"/>
      <c r="K39" s="10"/>
      <c r="L39" s="1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3"/>
      <c r="BW39" s="3"/>
      <c r="BX39" s="2"/>
      <c r="BY39" s="3"/>
      <c r="BZ39" s="3"/>
      <c r="CA39" s="4"/>
      <c r="CB39" s="4"/>
      <c r="CC39" s="4"/>
      <c r="CD39" s="4"/>
      <c r="CE39" s="4"/>
      <c r="CF39" s="4"/>
      <c r="CG39" s="5"/>
      <c r="CH39" s="5"/>
      <c r="CI39" s="5"/>
      <c r="CJ39" s="5"/>
      <c r="CK39" s="5"/>
      <c r="CL39" s="5"/>
      <c r="CM39" s="5"/>
      <c r="CN39" s="5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</row>
    <row r="40" spans="1:104" ht="21.75" customHeight="1">
      <c r="A40" s="53" t="s">
        <v>53</v>
      </c>
      <c r="B40" s="75"/>
      <c r="C40" s="75"/>
      <c r="D40" s="75"/>
      <c r="E40" s="75"/>
      <c r="F40" s="13"/>
      <c r="G40" s="13"/>
      <c r="H40" s="13"/>
      <c r="I40" s="13"/>
      <c r="J40" s="10"/>
      <c r="K40" s="10"/>
      <c r="L40" s="10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3"/>
      <c r="BW40" s="3"/>
      <c r="BX40" s="2"/>
      <c r="BY40" s="3"/>
      <c r="BZ40" s="3"/>
      <c r="CA40" s="4"/>
      <c r="CB40" s="4"/>
      <c r="CC40" s="4"/>
      <c r="CD40" s="4"/>
      <c r="CE40" s="4"/>
      <c r="CF40" s="4"/>
      <c r="CG40" s="5"/>
      <c r="CH40" s="5"/>
      <c r="CI40" s="5"/>
      <c r="CJ40" s="5"/>
      <c r="CK40" s="5"/>
      <c r="CL40" s="5"/>
      <c r="CM40" s="5"/>
      <c r="CN40" s="5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</row>
    <row r="41" spans="1:104" ht="31.5" customHeight="1">
      <c r="A41" s="76" t="s">
        <v>54</v>
      </c>
      <c r="B41" s="77" t="s">
        <v>55</v>
      </c>
      <c r="C41" s="78" t="s">
        <v>56</v>
      </c>
      <c r="D41" s="79" t="s">
        <v>57</v>
      </c>
      <c r="E41" s="77" t="s">
        <v>58</v>
      </c>
      <c r="F41" s="13"/>
      <c r="G41" s="13"/>
      <c r="H41" s="13"/>
      <c r="I41" s="13"/>
      <c r="J41" s="10"/>
      <c r="K41" s="10"/>
      <c r="L41" s="10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3"/>
      <c r="BW41" s="3"/>
      <c r="BX41" s="2"/>
      <c r="BY41" s="3"/>
      <c r="BZ41" s="3"/>
      <c r="CA41" s="4"/>
      <c r="CB41" s="4"/>
      <c r="CC41" s="4"/>
      <c r="CD41" s="4"/>
      <c r="CE41" s="4"/>
      <c r="CF41" s="4"/>
      <c r="CG41" s="5"/>
      <c r="CH41" s="5"/>
      <c r="CI41" s="5"/>
      <c r="CJ41" s="5"/>
      <c r="CK41" s="5"/>
      <c r="CL41" s="5"/>
      <c r="CM41" s="5"/>
      <c r="CN41" s="5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</row>
    <row r="42" spans="1:104" ht="21.75" customHeight="1">
      <c r="A42" s="80" t="s">
        <v>59</v>
      </c>
      <c r="B42" s="81"/>
      <c r="C42" s="60"/>
      <c r="D42" s="82"/>
      <c r="E42" s="83"/>
      <c r="F42" s="13"/>
      <c r="G42" s="13"/>
      <c r="H42" s="13"/>
      <c r="I42" s="13"/>
      <c r="J42" s="10"/>
      <c r="K42" s="10"/>
      <c r="L42" s="10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3"/>
      <c r="BW42" s="3"/>
      <c r="BX42" s="2"/>
      <c r="BY42" s="3"/>
      <c r="BZ42" s="3"/>
      <c r="CA42" s="4"/>
      <c r="CB42" s="4"/>
      <c r="CC42" s="4"/>
      <c r="CD42" s="4"/>
      <c r="CE42" s="4"/>
      <c r="CF42" s="4"/>
      <c r="CG42" s="5"/>
      <c r="CH42" s="5"/>
      <c r="CI42" s="5"/>
      <c r="CJ42" s="5"/>
      <c r="CK42" s="5"/>
      <c r="CL42" s="5"/>
      <c r="CM42" s="5"/>
      <c r="CN42" s="5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</row>
    <row r="43" spans="1:104" ht="21.75" customHeight="1">
      <c r="A43" s="84" t="s">
        <v>60</v>
      </c>
      <c r="B43" s="85"/>
      <c r="C43" s="66"/>
      <c r="D43" s="86"/>
      <c r="E43" s="87"/>
      <c r="F43" s="13"/>
      <c r="G43" s="13"/>
      <c r="H43" s="13"/>
      <c r="I43" s="13"/>
      <c r="J43" s="10"/>
      <c r="K43" s="10"/>
      <c r="L43" s="10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3"/>
      <c r="BW43" s="3"/>
      <c r="BX43" s="2"/>
      <c r="BY43" s="3"/>
      <c r="BZ43" s="3"/>
      <c r="CA43" s="4"/>
      <c r="CB43" s="4"/>
      <c r="CC43" s="4"/>
      <c r="CD43" s="4"/>
      <c r="CE43" s="4"/>
      <c r="CF43" s="4"/>
      <c r="CG43" s="5"/>
      <c r="CH43" s="5"/>
      <c r="CI43" s="5"/>
      <c r="CJ43" s="5"/>
      <c r="CK43" s="5"/>
      <c r="CL43" s="5"/>
      <c r="CM43" s="5"/>
      <c r="CN43" s="5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</row>
    <row r="44" spans="1:104" ht="21.75" customHeight="1">
      <c r="A44" s="84" t="s">
        <v>61</v>
      </c>
      <c r="B44" s="85"/>
      <c r="C44" s="66"/>
      <c r="D44" s="86"/>
      <c r="E44" s="87"/>
      <c r="F44" s="13"/>
      <c r="G44" s="13"/>
      <c r="H44" s="13"/>
      <c r="I44" s="13"/>
      <c r="J44" s="10"/>
      <c r="K44" s="10"/>
      <c r="L44" s="10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3"/>
      <c r="BW44" s="3"/>
      <c r="BX44" s="2"/>
      <c r="BY44" s="3"/>
      <c r="BZ44" s="3"/>
      <c r="CA44" s="4"/>
      <c r="CB44" s="4"/>
      <c r="CC44" s="4"/>
      <c r="CD44" s="4"/>
      <c r="CE44" s="4"/>
      <c r="CF44" s="4"/>
      <c r="CG44" s="5"/>
      <c r="CH44" s="5"/>
      <c r="CI44" s="5"/>
      <c r="CJ44" s="5"/>
      <c r="CK44" s="5"/>
      <c r="CL44" s="5"/>
      <c r="CM44" s="5"/>
      <c r="CN44" s="5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</row>
    <row r="45" spans="1:104" ht="21.75" customHeight="1">
      <c r="A45" s="84" t="s">
        <v>62</v>
      </c>
      <c r="B45" s="85"/>
      <c r="C45" s="66"/>
      <c r="D45" s="86"/>
      <c r="E45" s="87"/>
      <c r="F45" s="13"/>
      <c r="G45" s="13"/>
      <c r="H45" s="13"/>
      <c r="I45" s="13"/>
      <c r="J45" s="10"/>
      <c r="K45" s="10"/>
      <c r="L45" s="10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3"/>
      <c r="BW45" s="3"/>
      <c r="BX45" s="2"/>
      <c r="BY45" s="3"/>
      <c r="BZ45" s="3"/>
      <c r="CA45" s="4"/>
      <c r="CB45" s="4"/>
      <c r="CC45" s="4"/>
      <c r="CD45" s="4"/>
      <c r="CE45" s="4"/>
      <c r="CF45" s="4"/>
      <c r="CG45" s="5"/>
      <c r="CH45" s="5"/>
      <c r="CI45" s="5"/>
      <c r="CJ45" s="5"/>
      <c r="CK45" s="5"/>
      <c r="CL45" s="5"/>
      <c r="CM45" s="5"/>
      <c r="CN45" s="5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</row>
    <row r="46" spans="1:104" ht="21.75" customHeight="1">
      <c r="A46" s="84" t="s">
        <v>63</v>
      </c>
      <c r="B46" s="85"/>
      <c r="C46" s="66"/>
      <c r="D46" s="86"/>
      <c r="E46" s="87"/>
      <c r="F46" s="13"/>
      <c r="G46" s="13"/>
      <c r="H46" s="13"/>
      <c r="I46" s="13"/>
      <c r="J46" s="10"/>
      <c r="K46" s="10"/>
      <c r="L46" s="10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3"/>
      <c r="BW46" s="3"/>
      <c r="BX46" s="2"/>
      <c r="BY46" s="3"/>
      <c r="BZ46" s="3"/>
      <c r="CA46" s="4"/>
      <c r="CB46" s="4"/>
      <c r="CC46" s="4"/>
      <c r="CD46" s="4"/>
      <c r="CE46" s="4"/>
      <c r="CF46" s="4"/>
      <c r="CG46" s="5"/>
      <c r="CH46" s="5"/>
      <c r="CI46" s="5"/>
      <c r="CJ46" s="5"/>
      <c r="CK46" s="5"/>
      <c r="CL46" s="5"/>
      <c r="CM46" s="5"/>
      <c r="CN46" s="5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</row>
    <row r="47" spans="1:104" ht="21.75" customHeight="1">
      <c r="A47" s="88" t="s">
        <v>64</v>
      </c>
      <c r="B47" s="52"/>
      <c r="C47" s="71"/>
      <c r="D47" s="89"/>
      <c r="E47" s="74"/>
      <c r="F47" s="13"/>
      <c r="G47" s="13"/>
      <c r="H47" s="13"/>
      <c r="I47" s="13"/>
      <c r="J47" s="10"/>
      <c r="K47" s="10"/>
      <c r="L47" s="10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3"/>
      <c r="BW47" s="3"/>
      <c r="BX47" s="2"/>
      <c r="BY47" s="3"/>
      <c r="BZ47" s="3"/>
      <c r="CA47" s="4"/>
      <c r="CB47" s="4"/>
      <c r="CC47" s="4"/>
      <c r="CD47" s="4"/>
      <c r="CE47" s="4"/>
      <c r="CF47" s="4"/>
      <c r="CG47" s="5"/>
      <c r="CH47" s="5"/>
      <c r="CI47" s="5"/>
      <c r="CJ47" s="5"/>
      <c r="CK47" s="5"/>
      <c r="CL47" s="5"/>
      <c r="CM47" s="5"/>
      <c r="CN47" s="5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</row>
    <row r="48" spans="1:104" ht="21.75" customHeight="1">
      <c r="A48" s="90" t="s">
        <v>5</v>
      </c>
      <c r="B48" s="91">
        <f t="shared" ref="B48:E48" si="5">SUM(B42:B47)</f>
        <v>0</v>
      </c>
      <c r="C48" s="91">
        <f t="shared" si="5"/>
        <v>0</v>
      </c>
      <c r="D48" s="92">
        <f t="shared" si="5"/>
        <v>0</v>
      </c>
      <c r="E48" s="93">
        <f t="shared" si="5"/>
        <v>0</v>
      </c>
      <c r="F48" s="14"/>
      <c r="G48" s="13"/>
      <c r="H48" s="13"/>
      <c r="I48" s="13"/>
      <c r="J48" s="10"/>
      <c r="K48" s="10"/>
      <c r="L48" s="10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3"/>
      <c r="BW48" s="3"/>
      <c r="BX48" s="2"/>
      <c r="BY48" s="3"/>
      <c r="BZ48" s="3"/>
      <c r="CA48" s="4"/>
      <c r="CB48" s="4"/>
      <c r="CC48" s="4"/>
      <c r="CD48" s="4"/>
      <c r="CE48" s="4"/>
      <c r="CF48" s="4"/>
      <c r="CG48" s="5"/>
      <c r="CH48" s="5"/>
      <c r="CI48" s="5"/>
      <c r="CJ48" s="5"/>
      <c r="CK48" s="5"/>
      <c r="CL48" s="5"/>
      <c r="CM48" s="5"/>
      <c r="CN48" s="5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</row>
    <row r="49" spans="1:104" ht="31.5" customHeight="1">
      <c r="A49" s="203" t="s">
        <v>65</v>
      </c>
      <c r="B49" s="190"/>
      <c r="C49" s="190"/>
      <c r="D49" s="190"/>
      <c r="E49" s="204"/>
      <c r="F49" s="13"/>
      <c r="G49" s="13"/>
      <c r="H49" s="13"/>
      <c r="I49" s="13"/>
      <c r="J49" s="10"/>
      <c r="K49" s="10"/>
      <c r="L49" s="10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3"/>
      <c r="BZ49" s="3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</row>
    <row r="50" spans="1:104" ht="31.5" customHeight="1">
      <c r="A50" s="16" t="s">
        <v>66</v>
      </c>
      <c r="B50" s="16" t="s">
        <v>67</v>
      </c>
      <c r="C50" s="16" t="s">
        <v>5</v>
      </c>
      <c r="D50" s="94" t="s">
        <v>68</v>
      </c>
      <c r="E50" s="95" t="s">
        <v>69</v>
      </c>
      <c r="F50" s="96" t="s">
        <v>70</v>
      </c>
      <c r="G50" s="96" t="s">
        <v>71</v>
      </c>
      <c r="H50" s="96" t="s">
        <v>72</v>
      </c>
      <c r="I50" s="97" t="s">
        <v>9</v>
      </c>
      <c r="J50" s="98"/>
      <c r="K50" s="99"/>
      <c r="L50" s="99"/>
      <c r="M50" s="3"/>
      <c r="N50" s="3"/>
      <c r="O50" s="3"/>
      <c r="P50" s="3"/>
      <c r="Q50" s="3"/>
      <c r="R50" s="3"/>
      <c r="S50" s="3"/>
      <c r="T50" s="3"/>
      <c r="U50" s="3"/>
      <c r="V50" s="3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3"/>
      <c r="BZ50" s="3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</row>
    <row r="51" spans="1:104" ht="20.25" customHeight="1">
      <c r="A51" s="205" t="s">
        <v>73</v>
      </c>
      <c r="B51" s="198"/>
      <c r="C51" s="100">
        <f t="shared" ref="C51:C55" si="6">SUM(D51:I51)</f>
        <v>0</v>
      </c>
      <c r="D51" s="101"/>
      <c r="E51" s="102"/>
      <c r="F51" s="102"/>
      <c r="G51" s="102"/>
      <c r="H51" s="102"/>
      <c r="I51" s="103"/>
      <c r="J51" s="24" t="str">
        <f t="shared" ref="J51:J55" si="7">CA51&amp;CB51&amp;CC51&amp;CD51&amp;CE51&amp;CF51</f>
        <v/>
      </c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3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3"/>
      <c r="BZ51" s="3"/>
      <c r="CA51" s="4" t="str">
        <f>IF(D52+D53&gt;D51,"* La suma del Total egresados con apoyo psicosocial Hasta 28 días deben ser menor o igual al Total de Egresos de Hasta 28 días. ","")</f>
        <v/>
      </c>
      <c r="CB51" s="4" t="str">
        <f>IF(E52+E53&gt;E51,"* La suma del Total egresados con apoyo psicosocial de 29 dias hasta menor de 1 año deben ser menor al Total de Egresos de de 29 dias hasta menor de 1 año. ","")</f>
        <v/>
      </c>
      <c r="CC51" s="4" t="str">
        <f>IF(F52+F53&gt;F51,"* La suma del Total egresados con apoyo psicosocial de 1 a 4 años deben ser menor al Total de Egresos de 1 a 4 años. ","")</f>
        <v/>
      </c>
      <c r="CD51" s="4" t="str">
        <f>IF(G52+G53&gt;G51,"* La suma del Total egresados con apoyo psicosocial de 9 años deben ser menor o igual al Total de Egresos de de 5 a 9 años. ","")</f>
        <v/>
      </c>
      <c r="CE51" s="4" t="str">
        <f>IF(H52+H53&gt;H51,"* La suma del Total egresados con apoyo psicosocial de 10 a 14 años deben ser menor al Total de Egresos de 10 a 14 años. ","")</f>
        <v/>
      </c>
      <c r="CF51" s="4" t="str">
        <f>IF(I52+I53&gt;I51,"* La suma del Total egresados con apoyo psicosocial de 15 a 19 años deben ser menor al Total de Egresos de 15 a 19 años. ","")</f>
        <v/>
      </c>
      <c r="CG51" s="5">
        <f t="shared" ref="CG51:CL51" si="8">IF(D52+D53&gt;D51,1,0)</f>
        <v>0</v>
      </c>
      <c r="CH51" s="5">
        <f t="shared" si="8"/>
        <v>0</v>
      </c>
      <c r="CI51" s="5">
        <f t="shared" si="8"/>
        <v>0</v>
      </c>
      <c r="CJ51" s="5">
        <f t="shared" si="8"/>
        <v>0</v>
      </c>
      <c r="CK51" s="5">
        <f t="shared" si="8"/>
        <v>0</v>
      </c>
      <c r="CL51" s="5">
        <f t="shared" si="8"/>
        <v>0</v>
      </c>
      <c r="CM51" s="5"/>
      <c r="CN51" s="5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</row>
    <row r="52" spans="1:104" ht="25.5" customHeight="1">
      <c r="A52" s="192" t="s">
        <v>74</v>
      </c>
      <c r="B52" s="105" t="s">
        <v>75</v>
      </c>
      <c r="C52" s="59">
        <f t="shared" si="6"/>
        <v>0</v>
      </c>
      <c r="D52" s="106"/>
      <c r="E52" s="107"/>
      <c r="F52" s="107"/>
      <c r="G52" s="107"/>
      <c r="H52" s="107"/>
      <c r="I52" s="108"/>
      <c r="J52" s="24" t="str">
        <f t="shared" si="7"/>
        <v/>
      </c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3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3"/>
      <c r="BZ52" s="3"/>
      <c r="CA52" s="4"/>
      <c r="CB52" s="4"/>
      <c r="CC52" s="4"/>
      <c r="CD52" s="4"/>
      <c r="CE52" s="4"/>
      <c r="CF52" s="4"/>
      <c r="CG52" s="5"/>
      <c r="CH52" s="5"/>
      <c r="CI52" s="5"/>
      <c r="CJ52" s="5"/>
      <c r="CK52" s="5"/>
      <c r="CL52" s="5"/>
      <c r="CM52" s="5"/>
      <c r="CN52" s="5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</row>
    <row r="53" spans="1:104" ht="27.75" customHeight="1">
      <c r="A53" s="193"/>
      <c r="B53" s="109" t="s">
        <v>76</v>
      </c>
      <c r="C53" s="110">
        <f t="shared" si="6"/>
        <v>0</v>
      </c>
      <c r="D53" s="111"/>
      <c r="E53" s="112"/>
      <c r="F53" s="112"/>
      <c r="G53" s="112"/>
      <c r="H53" s="112"/>
      <c r="I53" s="113"/>
      <c r="J53" s="24" t="str">
        <f t="shared" si="7"/>
        <v/>
      </c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3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3"/>
      <c r="BZ53" s="3"/>
      <c r="CA53" s="4"/>
      <c r="CB53" s="4"/>
      <c r="CC53" s="4"/>
      <c r="CD53" s="4"/>
      <c r="CE53" s="4"/>
      <c r="CF53" s="4"/>
      <c r="CG53" s="5"/>
      <c r="CH53" s="5"/>
      <c r="CI53" s="5"/>
      <c r="CJ53" s="5"/>
      <c r="CK53" s="5"/>
      <c r="CL53" s="5"/>
      <c r="CM53" s="5"/>
      <c r="CN53" s="5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</row>
    <row r="54" spans="1:104" ht="29.25" customHeight="1">
      <c r="A54" s="192" t="s">
        <v>77</v>
      </c>
      <c r="B54" s="105" t="s">
        <v>75</v>
      </c>
      <c r="C54" s="59">
        <f t="shared" si="6"/>
        <v>0</v>
      </c>
      <c r="D54" s="114"/>
      <c r="E54" s="115"/>
      <c r="F54" s="115"/>
      <c r="G54" s="115"/>
      <c r="H54" s="115"/>
      <c r="I54" s="116"/>
      <c r="J54" s="24" t="str">
        <f t="shared" si="7"/>
        <v/>
      </c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3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3"/>
      <c r="BZ54" s="3"/>
      <c r="CA54" s="4"/>
      <c r="CB54" s="4"/>
      <c r="CC54" s="4"/>
      <c r="CD54" s="4"/>
      <c r="CE54" s="4"/>
      <c r="CF54" s="4"/>
      <c r="CG54" s="5"/>
      <c r="CH54" s="5"/>
      <c r="CI54" s="5"/>
      <c r="CJ54" s="5"/>
      <c r="CK54" s="5"/>
      <c r="CL54" s="5"/>
      <c r="CM54" s="5"/>
      <c r="CN54" s="5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</row>
    <row r="55" spans="1:104" ht="24.75" customHeight="1">
      <c r="A55" s="193"/>
      <c r="B55" s="117" t="s">
        <v>76</v>
      </c>
      <c r="C55" s="118">
        <f t="shared" si="6"/>
        <v>0</v>
      </c>
      <c r="D55" s="119"/>
      <c r="E55" s="120"/>
      <c r="F55" s="120"/>
      <c r="G55" s="120"/>
      <c r="H55" s="120"/>
      <c r="I55" s="121"/>
      <c r="J55" s="24" t="str">
        <f t="shared" si="7"/>
        <v/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3"/>
      <c r="BZ55" s="3"/>
      <c r="CA55" s="4"/>
      <c r="CB55" s="4"/>
      <c r="CC55" s="4"/>
      <c r="CD55" s="4"/>
      <c r="CE55" s="4"/>
      <c r="CF55" s="4"/>
      <c r="CG55" s="5"/>
      <c r="CH55" s="5"/>
      <c r="CI55" s="5"/>
      <c r="CJ55" s="5"/>
      <c r="CK55" s="5"/>
      <c r="CL55" s="5"/>
      <c r="CM55" s="5"/>
      <c r="CN55" s="5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</row>
    <row r="56" spans="1:104" ht="31.5" customHeight="1">
      <c r="A56" s="53" t="s">
        <v>78</v>
      </c>
      <c r="B56" s="40"/>
      <c r="C56" s="40"/>
      <c r="D56" s="10"/>
      <c r="E56" s="10"/>
      <c r="F56" s="10"/>
      <c r="G56" s="10"/>
      <c r="H56" s="122"/>
      <c r="I56" s="122"/>
      <c r="J56" s="10"/>
      <c r="K56" s="10"/>
      <c r="L56" s="10"/>
      <c r="M56" s="4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3"/>
      <c r="BZ56" s="3"/>
      <c r="CA56" s="4"/>
      <c r="CB56" s="4"/>
      <c r="CC56" s="4"/>
      <c r="CD56" s="4"/>
      <c r="CE56" s="4"/>
      <c r="CF56" s="4"/>
      <c r="CG56" s="5"/>
      <c r="CH56" s="5"/>
      <c r="CI56" s="5"/>
      <c r="CJ56" s="5"/>
      <c r="CK56" s="5"/>
      <c r="CL56" s="5"/>
      <c r="CM56" s="5"/>
      <c r="CN56" s="5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</row>
    <row r="57" spans="1:104" ht="15.75" customHeight="1">
      <c r="A57" s="206" t="s">
        <v>79</v>
      </c>
      <c r="B57" s="208" t="s">
        <v>80</v>
      </c>
      <c r="C57" s="189"/>
      <c r="D57" s="208" t="s">
        <v>81</v>
      </c>
      <c r="E57" s="189"/>
      <c r="F57" s="194" t="s">
        <v>82</v>
      </c>
      <c r="G57" s="195"/>
      <c r="H57" s="195"/>
      <c r="I57" s="198"/>
      <c r="J57" s="11"/>
      <c r="K57" s="10"/>
      <c r="L57" s="10"/>
      <c r="M57" s="4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3"/>
      <c r="BZ57" s="3"/>
      <c r="CA57" s="4"/>
      <c r="CB57" s="4"/>
      <c r="CC57" s="4"/>
      <c r="CD57" s="4"/>
      <c r="CE57" s="4"/>
      <c r="CF57" s="4"/>
      <c r="CG57" s="5"/>
      <c r="CH57" s="5"/>
      <c r="CI57" s="5"/>
      <c r="CJ57" s="5"/>
      <c r="CK57" s="5"/>
      <c r="CL57" s="5"/>
      <c r="CM57" s="5"/>
      <c r="CN57" s="5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</row>
    <row r="58" spans="1:104" ht="18.75" customHeight="1">
      <c r="A58" s="207"/>
      <c r="B58" s="209"/>
      <c r="C58" s="191"/>
      <c r="D58" s="209"/>
      <c r="E58" s="191"/>
      <c r="F58" s="194" t="s">
        <v>83</v>
      </c>
      <c r="G58" s="198"/>
      <c r="H58" s="194" t="s">
        <v>84</v>
      </c>
      <c r="I58" s="198"/>
      <c r="J58" s="123"/>
      <c r="K58" s="10"/>
      <c r="L58" s="10"/>
      <c r="M58" s="4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3"/>
      <c r="BZ58" s="3"/>
      <c r="CA58" s="4"/>
      <c r="CB58" s="4"/>
      <c r="CC58" s="4"/>
      <c r="CD58" s="4"/>
      <c r="CE58" s="4"/>
      <c r="CF58" s="4"/>
      <c r="CG58" s="5"/>
      <c r="CH58" s="5"/>
      <c r="CI58" s="5"/>
      <c r="CJ58" s="5"/>
      <c r="CK58" s="5"/>
      <c r="CL58" s="5"/>
      <c r="CM58" s="5"/>
      <c r="CN58" s="5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</row>
    <row r="59" spans="1:104" ht="30" customHeight="1">
      <c r="A59" s="191"/>
      <c r="B59" s="55" t="s">
        <v>8</v>
      </c>
      <c r="C59" s="124" t="s">
        <v>85</v>
      </c>
      <c r="D59" s="55" t="s">
        <v>8</v>
      </c>
      <c r="E59" s="18" t="s">
        <v>85</v>
      </c>
      <c r="F59" s="55" t="s">
        <v>8</v>
      </c>
      <c r="G59" s="124" t="s">
        <v>85</v>
      </c>
      <c r="H59" s="55" t="s">
        <v>8</v>
      </c>
      <c r="I59" s="18" t="s">
        <v>85</v>
      </c>
      <c r="J59" s="123"/>
      <c r="K59" s="10"/>
      <c r="L59" s="10"/>
      <c r="M59" s="4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3"/>
      <c r="BZ59" s="3"/>
      <c r="CA59" s="4"/>
      <c r="CB59" s="4"/>
      <c r="CC59" s="4"/>
      <c r="CD59" s="4"/>
      <c r="CE59" s="4"/>
      <c r="CF59" s="4"/>
      <c r="CG59" s="5"/>
      <c r="CH59" s="5"/>
      <c r="CI59" s="5"/>
      <c r="CJ59" s="5"/>
      <c r="CK59" s="5"/>
      <c r="CL59" s="5"/>
      <c r="CM59" s="5"/>
      <c r="CN59" s="5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</row>
    <row r="60" spans="1:104" ht="15.75" customHeight="1">
      <c r="A60" s="125" t="s">
        <v>86</v>
      </c>
      <c r="B60" s="106"/>
      <c r="C60" s="108"/>
      <c r="D60" s="106"/>
      <c r="E60" s="108"/>
      <c r="F60" s="126"/>
      <c r="G60" s="63"/>
      <c r="H60" s="126"/>
      <c r="I60" s="63"/>
      <c r="J60" s="24" t="str">
        <f t="shared" ref="J60:J71" si="9">CA60</f>
        <v/>
      </c>
      <c r="K60" s="10"/>
      <c r="L60" s="10"/>
      <c r="M60" s="4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3"/>
      <c r="BZ60" s="3"/>
      <c r="CA60" s="4" t="str">
        <f t="shared" ref="CA60:CA71" si="10">IF(CG60=1," * La suma de los Pacientes Intervenidos debe ser mayor o igual a la Suma de Pacientes Programados menos la Suma de Pacientes Suspendidos. ","")</f>
        <v/>
      </c>
      <c r="CB60" s="4"/>
      <c r="CC60" s="4"/>
      <c r="CD60" s="4"/>
      <c r="CE60" s="4"/>
      <c r="CF60" s="4"/>
      <c r="CG60" s="5">
        <f t="shared" ref="CG60:CG71" si="11">IF(((F60+G60)-(H60+I60))&gt;(D60+E60),1,0)</f>
        <v>0</v>
      </c>
      <c r="CH60" s="5"/>
      <c r="CI60" s="5"/>
      <c r="CJ60" s="5"/>
      <c r="CK60" s="5"/>
      <c r="CL60" s="5"/>
      <c r="CM60" s="5"/>
      <c r="CN60" s="5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</row>
    <row r="61" spans="1:104" ht="15.75" customHeight="1">
      <c r="A61" s="127" t="s">
        <v>87</v>
      </c>
      <c r="B61" s="128"/>
      <c r="C61" s="129"/>
      <c r="D61" s="128"/>
      <c r="E61" s="129"/>
      <c r="F61" s="130"/>
      <c r="G61" s="131"/>
      <c r="H61" s="130"/>
      <c r="I61" s="131"/>
      <c r="J61" s="24" t="str">
        <f t="shared" si="9"/>
        <v/>
      </c>
      <c r="K61" s="10"/>
      <c r="L61" s="10"/>
      <c r="M61" s="4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3"/>
      <c r="BZ61" s="3"/>
      <c r="CA61" s="4" t="str">
        <f t="shared" si="10"/>
        <v/>
      </c>
      <c r="CB61" s="4"/>
      <c r="CC61" s="4"/>
      <c r="CD61" s="4"/>
      <c r="CE61" s="4"/>
      <c r="CF61" s="4"/>
      <c r="CG61" s="5">
        <f t="shared" si="11"/>
        <v>0</v>
      </c>
      <c r="CH61" s="5"/>
      <c r="CI61" s="5"/>
      <c r="CJ61" s="5"/>
      <c r="CK61" s="5"/>
      <c r="CL61" s="5"/>
      <c r="CM61" s="5"/>
      <c r="CN61" s="5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</row>
    <row r="62" spans="1:104" ht="15.75" customHeight="1">
      <c r="A62" s="127" t="s">
        <v>88</v>
      </c>
      <c r="B62" s="128"/>
      <c r="C62" s="129"/>
      <c r="D62" s="128"/>
      <c r="E62" s="129"/>
      <c r="F62" s="130"/>
      <c r="G62" s="131"/>
      <c r="H62" s="130"/>
      <c r="I62" s="131"/>
      <c r="J62" s="24" t="str">
        <f t="shared" si="9"/>
        <v/>
      </c>
      <c r="K62" s="10"/>
      <c r="L62" s="10"/>
      <c r="M62" s="4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3"/>
      <c r="BZ62" s="3"/>
      <c r="CA62" s="4" t="str">
        <f t="shared" si="10"/>
        <v/>
      </c>
      <c r="CB62" s="4"/>
      <c r="CC62" s="4"/>
      <c r="CD62" s="4"/>
      <c r="CE62" s="4"/>
      <c r="CF62" s="4"/>
      <c r="CG62" s="5">
        <f t="shared" si="11"/>
        <v>0</v>
      </c>
      <c r="CH62" s="5"/>
      <c r="CI62" s="5"/>
      <c r="CJ62" s="5"/>
      <c r="CK62" s="5"/>
      <c r="CL62" s="5"/>
      <c r="CM62" s="5"/>
      <c r="CN62" s="5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</row>
    <row r="63" spans="1:104" ht="15.75" customHeight="1">
      <c r="A63" s="127" t="s">
        <v>89</v>
      </c>
      <c r="B63" s="128"/>
      <c r="C63" s="129"/>
      <c r="D63" s="128"/>
      <c r="E63" s="129"/>
      <c r="F63" s="130"/>
      <c r="G63" s="131"/>
      <c r="H63" s="130"/>
      <c r="I63" s="131"/>
      <c r="J63" s="24" t="str">
        <f t="shared" si="9"/>
        <v/>
      </c>
      <c r="K63" s="10"/>
      <c r="L63" s="10"/>
      <c r="M63" s="4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3"/>
      <c r="BZ63" s="3"/>
      <c r="CA63" s="4" t="str">
        <f t="shared" si="10"/>
        <v/>
      </c>
      <c r="CB63" s="4"/>
      <c r="CC63" s="4"/>
      <c r="CD63" s="4"/>
      <c r="CE63" s="4"/>
      <c r="CF63" s="4"/>
      <c r="CG63" s="5">
        <f t="shared" si="11"/>
        <v>0</v>
      </c>
      <c r="CH63" s="5"/>
      <c r="CI63" s="5"/>
      <c r="CJ63" s="5"/>
      <c r="CK63" s="5"/>
      <c r="CL63" s="5"/>
      <c r="CM63" s="5"/>
      <c r="CN63" s="5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</row>
    <row r="64" spans="1:104" ht="15.75" customHeight="1">
      <c r="A64" s="127" t="s">
        <v>90</v>
      </c>
      <c r="B64" s="128"/>
      <c r="C64" s="129"/>
      <c r="D64" s="128"/>
      <c r="E64" s="129"/>
      <c r="F64" s="130"/>
      <c r="G64" s="131"/>
      <c r="H64" s="130"/>
      <c r="I64" s="131"/>
      <c r="J64" s="24" t="str">
        <f t="shared" si="9"/>
        <v/>
      </c>
      <c r="K64" s="10"/>
      <c r="L64" s="10"/>
      <c r="M64" s="4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3"/>
      <c r="BZ64" s="3"/>
      <c r="CA64" s="4" t="str">
        <f t="shared" si="10"/>
        <v/>
      </c>
      <c r="CB64" s="4"/>
      <c r="CC64" s="4"/>
      <c r="CD64" s="4"/>
      <c r="CE64" s="4"/>
      <c r="CF64" s="4"/>
      <c r="CG64" s="5">
        <f t="shared" si="11"/>
        <v>0</v>
      </c>
      <c r="CH64" s="5"/>
      <c r="CI64" s="5"/>
      <c r="CJ64" s="5"/>
      <c r="CK64" s="5"/>
      <c r="CL64" s="5"/>
      <c r="CM64" s="5"/>
      <c r="CN64" s="5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</row>
    <row r="65" spans="1:104" ht="15.75" customHeight="1">
      <c r="A65" s="127" t="s">
        <v>91</v>
      </c>
      <c r="B65" s="128"/>
      <c r="C65" s="129"/>
      <c r="D65" s="128"/>
      <c r="E65" s="129"/>
      <c r="F65" s="130"/>
      <c r="G65" s="131"/>
      <c r="H65" s="130"/>
      <c r="I65" s="131"/>
      <c r="J65" s="24" t="str">
        <f t="shared" si="9"/>
        <v/>
      </c>
      <c r="K65" s="10"/>
      <c r="L65" s="10"/>
      <c r="M65" s="4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3"/>
      <c r="BZ65" s="3"/>
      <c r="CA65" s="4" t="str">
        <f t="shared" si="10"/>
        <v/>
      </c>
      <c r="CB65" s="4"/>
      <c r="CC65" s="4"/>
      <c r="CD65" s="4"/>
      <c r="CE65" s="4"/>
      <c r="CF65" s="4"/>
      <c r="CG65" s="5">
        <f t="shared" si="11"/>
        <v>0</v>
      </c>
      <c r="CH65" s="5"/>
      <c r="CI65" s="5"/>
      <c r="CJ65" s="5"/>
      <c r="CK65" s="5"/>
      <c r="CL65" s="5"/>
      <c r="CM65" s="5"/>
      <c r="CN65" s="5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</row>
    <row r="66" spans="1:104" ht="15.75" customHeight="1">
      <c r="A66" s="127" t="s">
        <v>92</v>
      </c>
      <c r="B66" s="128"/>
      <c r="C66" s="129"/>
      <c r="D66" s="128"/>
      <c r="E66" s="129"/>
      <c r="F66" s="130"/>
      <c r="G66" s="131"/>
      <c r="H66" s="130"/>
      <c r="I66" s="131"/>
      <c r="J66" s="24" t="str">
        <f t="shared" si="9"/>
        <v/>
      </c>
      <c r="K66" s="10"/>
      <c r="L66" s="10"/>
      <c r="M66" s="4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3"/>
      <c r="BZ66" s="3"/>
      <c r="CA66" s="4" t="str">
        <f t="shared" si="10"/>
        <v/>
      </c>
      <c r="CB66" s="4"/>
      <c r="CC66" s="4"/>
      <c r="CD66" s="4"/>
      <c r="CE66" s="4"/>
      <c r="CF66" s="4"/>
      <c r="CG66" s="5">
        <f t="shared" si="11"/>
        <v>0</v>
      </c>
      <c r="CH66" s="5"/>
      <c r="CI66" s="5"/>
      <c r="CJ66" s="5"/>
      <c r="CK66" s="5"/>
      <c r="CL66" s="5"/>
      <c r="CM66" s="5"/>
      <c r="CN66" s="5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</row>
    <row r="67" spans="1:104" ht="15.75" customHeight="1">
      <c r="A67" s="127" t="s">
        <v>93</v>
      </c>
      <c r="B67" s="128"/>
      <c r="C67" s="129"/>
      <c r="D67" s="128"/>
      <c r="E67" s="129"/>
      <c r="F67" s="130"/>
      <c r="G67" s="131"/>
      <c r="H67" s="130"/>
      <c r="I67" s="131"/>
      <c r="J67" s="24" t="str">
        <f t="shared" si="9"/>
        <v/>
      </c>
      <c r="K67" s="10"/>
      <c r="L67" s="10"/>
      <c r="M67" s="4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3"/>
      <c r="BZ67" s="3"/>
      <c r="CA67" s="4" t="str">
        <f t="shared" si="10"/>
        <v/>
      </c>
      <c r="CB67" s="4"/>
      <c r="CC67" s="4"/>
      <c r="CD67" s="4"/>
      <c r="CE67" s="4"/>
      <c r="CF67" s="4"/>
      <c r="CG67" s="5">
        <f t="shared" si="11"/>
        <v>0</v>
      </c>
      <c r="CH67" s="5"/>
      <c r="CI67" s="5"/>
      <c r="CJ67" s="5"/>
      <c r="CK67" s="5"/>
      <c r="CL67" s="5"/>
      <c r="CM67" s="5"/>
      <c r="CN67" s="5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</row>
    <row r="68" spans="1:104" ht="15.75" customHeight="1">
      <c r="A68" s="127" t="s">
        <v>94</v>
      </c>
      <c r="B68" s="128"/>
      <c r="C68" s="129"/>
      <c r="D68" s="128"/>
      <c r="E68" s="129"/>
      <c r="F68" s="130"/>
      <c r="G68" s="131"/>
      <c r="H68" s="130"/>
      <c r="I68" s="131"/>
      <c r="J68" s="24" t="str">
        <f t="shared" si="9"/>
        <v/>
      </c>
      <c r="K68" s="10"/>
      <c r="L68" s="10"/>
      <c r="M68" s="4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3"/>
      <c r="BZ68" s="3"/>
      <c r="CA68" s="4" t="str">
        <f t="shared" si="10"/>
        <v/>
      </c>
      <c r="CB68" s="4"/>
      <c r="CC68" s="4"/>
      <c r="CD68" s="4"/>
      <c r="CE68" s="4"/>
      <c r="CF68" s="4"/>
      <c r="CG68" s="5">
        <f t="shared" si="11"/>
        <v>0</v>
      </c>
      <c r="CH68" s="5"/>
      <c r="CI68" s="5"/>
      <c r="CJ68" s="5"/>
      <c r="CK68" s="5"/>
      <c r="CL68" s="5"/>
      <c r="CM68" s="5"/>
      <c r="CN68" s="5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</row>
    <row r="69" spans="1:104" ht="15.75" customHeight="1">
      <c r="A69" s="127" t="s">
        <v>95</v>
      </c>
      <c r="B69" s="128"/>
      <c r="C69" s="129"/>
      <c r="D69" s="128"/>
      <c r="E69" s="129"/>
      <c r="F69" s="130"/>
      <c r="G69" s="131"/>
      <c r="H69" s="130"/>
      <c r="I69" s="131"/>
      <c r="J69" s="24" t="str">
        <f t="shared" si="9"/>
        <v/>
      </c>
      <c r="K69" s="10"/>
      <c r="L69" s="10"/>
      <c r="M69" s="4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3"/>
      <c r="BZ69" s="3"/>
      <c r="CA69" s="4" t="str">
        <f t="shared" si="10"/>
        <v/>
      </c>
      <c r="CB69" s="4"/>
      <c r="CC69" s="4"/>
      <c r="CD69" s="4"/>
      <c r="CE69" s="4"/>
      <c r="CF69" s="4"/>
      <c r="CG69" s="5">
        <f t="shared" si="11"/>
        <v>0</v>
      </c>
      <c r="CH69" s="5"/>
      <c r="CI69" s="5"/>
      <c r="CJ69" s="5"/>
      <c r="CK69" s="5"/>
      <c r="CL69" s="5"/>
      <c r="CM69" s="5"/>
      <c r="CN69" s="5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</row>
    <row r="70" spans="1:104" ht="15.75" customHeight="1">
      <c r="A70" s="127" t="s">
        <v>96</v>
      </c>
      <c r="B70" s="128"/>
      <c r="C70" s="129"/>
      <c r="D70" s="128"/>
      <c r="E70" s="129"/>
      <c r="F70" s="130"/>
      <c r="G70" s="131"/>
      <c r="H70" s="130"/>
      <c r="I70" s="131"/>
      <c r="J70" s="24" t="str">
        <f t="shared" si="9"/>
        <v/>
      </c>
      <c r="K70" s="10"/>
      <c r="L70" s="10"/>
      <c r="M70" s="11"/>
      <c r="N70" s="10"/>
      <c r="O70" s="10"/>
      <c r="P70" s="4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4" t="str">
        <f t="shared" si="10"/>
        <v/>
      </c>
      <c r="CB70" s="4"/>
      <c r="CC70" s="4"/>
      <c r="CD70" s="4"/>
      <c r="CE70" s="4"/>
      <c r="CF70" s="4"/>
      <c r="CG70" s="5">
        <f t="shared" si="11"/>
        <v>0</v>
      </c>
      <c r="CH70" s="5"/>
      <c r="CI70" s="5"/>
      <c r="CJ70" s="5"/>
      <c r="CK70" s="5"/>
      <c r="CL70" s="5"/>
      <c r="CM70" s="5"/>
      <c r="CN70" s="5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</row>
    <row r="71" spans="1:104" ht="15.75" customHeight="1">
      <c r="A71" s="127" t="s">
        <v>97</v>
      </c>
      <c r="B71" s="128"/>
      <c r="C71" s="129"/>
      <c r="D71" s="128"/>
      <c r="E71" s="129"/>
      <c r="F71" s="130"/>
      <c r="G71" s="131"/>
      <c r="H71" s="130"/>
      <c r="I71" s="131"/>
      <c r="J71" s="24" t="str">
        <f t="shared" si="9"/>
        <v/>
      </c>
      <c r="K71" s="10"/>
      <c r="L71" s="10"/>
      <c r="M71" s="11"/>
      <c r="N71" s="10"/>
      <c r="O71" s="10"/>
      <c r="P71" s="4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4" t="str">
        <f t="shared" si="10"/>
        <v/>
      </c>
      <c r="CB71" s="4"/>
      <c r="CC71" s="4"/>
      <c r="CD71" s="4"/>
      <c r="CE71" s="4"/>
      <c r="CF71" s="4"/>
      <c r="CG71" s="5">
        <f t="shared" si="11"/>
        <v>0</v>
      </c>
      <c r="CH71" s="5"/>
      <c r="CI71" s="5"/>
      <c r="CJ71" s="5"/>
      <c r="CK71" s="5"/>
      <c r="CL71" s="5"/>
      <c r="CM71" s="5"/>
      <c r="CN71" s="5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</row>
    <row r="72" spans="1:104" ht="15.75" customHeight="1">
      <c r="A72" s="127" t="s">
        <v>98</v>
      </c>
      <c r="B72" s="128"/>
      <c r="C72" s="129"/>
      <c r="D72" s="128"/>
      <c r="E72" s="129"/>
      <c r="F72" s="130"/>
      <c r="G72" s="131"/>
      <c r="H72" s="130"/>
      <c r="I72" s="131"/>
      <c r="J72" s="24"/>
      <c r="K72" s="10"/>
      <c r="L72" s="10"/>
      <c r="M72" s="11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4"/>
      <c r="CB72" s="4"/>
      <c r="CC72" s="4"/>
      <c r="CD72" s="4"/>
      <c r="CE72" s="4"/>
      <c r="CF72" s="4"/>
      <c r="CG72" s="5"/>
      <c r="CH72" s="5"/>
      <c r="CI72" s="5"/>
      <c r="CJ72" s="5"/>
      <c r="CK72" s="5"/>
      <c r="CL72" s="5"/>
      <c r="CM72" s="5"/>
      <c r="CN72" s="5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</row>
    <row r="73" spans="1:104" ht="15.75" customHeight="1">
      <c r="A73" s="132" t="s">
        <v>5</v>
      </c>
      <c r="B73" s="133">
        <f t="shared" ref="B73:I73" si="12">SUM(B60:B72)</f>
        <v>0</v>
      </c>
      <c r="C73" s="133">
        <f t="shared" si="12"/>
        <v>0</v>
      </c>
      <c r="D73" s="133">
        <f t="shared" si="12"/>
        <v>0</v>
      </c>
      <c r="E73" s="133">
        <f t="shared" si="12"/>
        <v>0</v>
      </c>
      <c r="F73" s="133">
        <f t="shared" si="12"/>
        <v>0</v>
      </c>
      <c r="G73" s="133">
        <f t="shared" si="12"/>
        <v>0</v>
      </c>
      <c r="H73" s="133">
        <f t="shared" si="12"/>
        <v>0</v>
      </c>
      <c r="I73" s="134">
        <f t="shared" si="12"/>
        <v>0</v>
      </c>
      <c r="J73" s="11"/>
      <c r="K73" s="10"/>
      <c r="L73" s="10"/>
      <c r="M73" s="4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3"/>
      <c r="BZ73" s="3"/>
      <c r="CA73" s="4"/>
      <c r="CB73" s="4"/>
      <c r="CC73" s="4"/>
      <c r="CD73" s="4"/>
      <c r="CE73" s="4"/>
      <c r="CF73" s="4"/>
      <c r="CG73" s="5"/>
      <c r="CH73" s="5"/>
      <c r="CI73" s="5"/>
      <c r="CJ73" s="5"/>
      <c r="CK73" s="5"/>
      <c r="CL73" s="5"/>
      <c r="CM73" s="5"/>
      <c r="CN73" s="5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</row>
    <row r="74" spans="1:104" ht="31.5" customHeight="1">
      <c r="A74" s="213" t="s">
        <v>99</v>
      </c>
      <c r="B74" s="214"/>
      <c r="C74" s="214"/>
      <c r="D74" s="214"/>
      <c r="E74" s="214"/>
      <c r="F74" s="214"/>
      <c r="G74" s="214"/>
      <c r="H74" s="40"/>
      <c r="I74" s="40"/>
      <c r="J74" s="11"/>
      <c r="K74" s="10"/>
      <c r="L74" s="10"/>
      <c r="M74" s="4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3"/>
      <c r="BZ74" s="3"/>
      <c r="CA74" s="4"/>
      <c r="CB74" s="4"/>
      <c r="CC74" s="4"/>
      <c r="CD74" s="4"/>
      <c r="CE74" s="4"/>
      <c r="CF74" s="4"/>
      <c r="CG74" s="5"/>
      <c r="CH74" s="5"/>
      <c r="CI74" s="5"/>
      <c r="CJ74" s="5"/>
      <c r="CK74" s="5"/>
      <c r="CL74" s="5"/>
      <c r="CM74" s="5"/>
      <c r="CN74" s="5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</row>
    <row r="75" spans="1:104" ht="24" customHeight="1">
      <c r="A75" s="192" t="s">
        <v>100</v>
      </c>
      <c r="B75" s="194" t="s">
        <v>101</v>
      </c>
      <c r="C75" s="195"/>
      <c r="D75" s="195"/>
      <c r="E75" s="195"/>
      <c r="F75" s="195"/>
      <c r="G75" s="198"/>
      <c r="H75" s="10"/>
      <c r="I75" s="11"/>
      <c r="J75" s="10"/>
      <c r="K75" s="10"/>
      <c r="L75" s="41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3"/>
      <c r="BZ75" s="3"/>
      <c r="CA75" s="4"/>
      <c r="CB75" s="4"/>
      <c r="CC75" s="4"/>
      <c r="CD75" s="4"/>
      <c r="CE75" s="4"/>
      <c r="CF75" s="4"/>
      <c r="CG75" s="5"/>
      <c r="CH75" s="5"/>
      <c r="CI75" s="5"/>
      <c r="CJ75" s="5"/>
      <c r="CK75" s="5"/>
      <c r="CL75" s="5"/>
      <c r="CM75" s="5"/>
      <c r="CN75" s="5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</row>
    <row r="76" spans="1:104" ht="31.5" customHeight="1">
      <c r="A76" s="193"/>
      <c r="B76" s="76" t="s">
        <v>102</v>
      </c>
      <c r="C76" s="55" t="s">
        <v>8</v>
      </c>
      <c r="D76" s="17" t="s">
        <v>85</v>
      </c>
      <c r="E76" s="56" t="s">
        <v>103</v>
      </c>
      <c r="F76" s="135" t="s">
        <v>104</v>
      </c>
      <c r="G76" s="135" t="s">
        <v>105</v>
      </c>
      <c r="H76" s="10"/>
      <c r="I76" s="10"/>
      <c r="J76" s="11"/>
      <c r="K76" s="10"/>
      <c r="L76" s="10"/>
      <c r="M76" s="4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3"/>
      <c r="BZ76" s="3"/>
      <c r="CA76" s="4"/>
      <c r="CB76" s="4"/>
      <c r="CC76" s="4"/>
      <c r="CD76" s="4"/>
      <c r="CE76" s="4"/>
      <c r="CF76" s="4"/>
      <c r="CG76" s="5"/>
      <c r="CH76" s="5"/>
      <c r="CI76" s="5"/>
      <c r="CJ76" s="5"/>
      <c r="CK76" s="5"/>
      <c r="CL76" s="5"/>
      <c r="CM76" s="5"/>
      <c r="CN76" s="5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</row>
    <row r="77" spans="1:104" ht="16.5" customHeight="1">
      <c r="A77" s="125" t="s">
        <v>106</v>
      </c>
      <c r="B77" s="136">
        <f t="shared" ref="B77:B83" si="13">SUM(C77+D77)</f>
        <v>0</v>
      </c>
      <c r="C77" s="126"/>
      <c r="D77" s="137"/>
      <c r="E77" s="138"/>
      <c r="F77" s="139"/>
      <c r="G77" s="139"/>
      <c r="H77" s="24" t="str">
        <f t="shared" ref="H77:H84" si="14">CA77</f>
        <v/>
      </c>
      <c r="I77" s="10"/>
      <c r="J77" s="11"/>
      <c r="K77" s="10"/>
      <c r="L77" s="10"/>
      <c r="M77" s="4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3"/>
      <c r="BZ77" s="3"/>
      <c r="CA77" s="4" t="str">
        <f t="shared" ref="CA77:CA83" si="15">IF(CH77=1," * La suma de los Beneficiarios MAI, MLE y Otros debe seri igual al Total. ","")</f>
        <v/>
      </c>
      <c r="CB77" s="4"/>
      <c r="CC77" s="4"/>
      <c r="CD77" s="4"/>
      <c r="CE77" s="4"/>
      <c r="CF77" s="4"/>
      <c r="CG77" s="5"/>
      <c r="CH77" s="5">
        <f t="shared" ref="CH77:CH83" si="16">IF(B77&lt;&gt;(E77+F77+G77),1,0)</f>
        <v>0</v>
      </c>
      <c r="CI77" s="5"/>
      <c r="CJ77" s="5"/>
      <c r="CK77" s="5"/>
      <c r="CL77" s="5"/>
      <c r="CM77" s="5"/>
      <c r="CN77" s="5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</row>
    <row r="78" spans="1:104" ht="16.5" customHeight="1">
      <c r="A78" s="140" t="s">
        <v>107</v>
      </c>
      <c r="B78" s="141">
        <f t="shared" si="13"/>
        <v>0</v>
      </c>
      <c r="C78" s="130"/>
      <c r="D78" s="142"/>
      <c r="E78" s="67"/>
      <c r="F78" s="143"/>
      <c r="G78" s="143"/>
      <c r="H78" s="24" t="str">
        <f t="shared" si="14"/>
        <v/>
      </c>
      <c r="I78" s="10"/>
      <c r="J78" s="11"/>
      <c r="K78" s="10"/>
      <c r="L78" s="10"/>
      <c r="M78" s="4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3"/>
      <c r="BZ78" s="3"/>
      <c r="CA78" s="4" t="str">
        <f t="shared" si="15"/>
        <v/>
      </c>
      <c r="CB78" s="4"/>
      <c r="CC78" s="4"/>
      <c r="CD78" s="4"/>
      <c r="CE78" s="4"/>
      <c r="CF78" s="4"/>
      <c r="CG78" s="5"/>
      <c r="CH78" s="5">
        <f t="shared" si="16"/>
        <v>0</v>
      </c>
      <c r="CI78" s="5"/>
      <c r="CJ78" s="5"/>
      <c r="CK78" s="5"/>
      <c r="CL78" s="5"/>
      <c r="CM78" s="5"/>
      <c r="CN78" s="5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</row>
    <row r="79" spans="1:104" ht="16.5" customHeight="1">
      <c r="A79" s="127" t="s">
        <v>108</v>
      </c>
      <c r="B79" s="141">
        <f t="shared" si="13"/>
        <v>0</v>
      </c>
      <c r="C79" s="130"/>
      <c r="D79" s="142"/>
      <c r="E79" s="67"/>
      <c r="F79" s="143"/>
      <c r="G79" s="143"/>
      <c r="H79" s="24" t="str">
        <f t="shared" si="14"/>
        <v/>
      </c>
      <c r="I79" s="10"/>
      <c r="J79" s="11"/>
      <c r="K79" s="10"/>
      <c r="L79" s="10"/>
      <c r="M79" s="4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3"/>
      <c r="BZ79" s="3"/>
      <c r="CA79" s="4" t="str">
        <f t="shared" si="15"/>
        <v/>
      </c>
      <c r="CB79" s="4"/>
      <c r="CC79" s="4"/>
      <c r="CD79" s="4"/>
      <c r="CE79" s="4"/>
      <c r="CF79" s="4"/>
      <c r="CG79" s="5"/>
      <c r="CH79" s="5">
        <f t="shared" si="16"/>
        <v>0</v>
      </c>
      <c r="CI79" s="5"/>
      <c r="CJ79" s="5"/>
      <c r="CK79" s="5"/>
      <c r="CL79" s="5"/>
      <c r="CM79" s="5"/>
      <c r="CN79" s="5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</row>
    <row r="80" spans="1:104" ht="16.5" customHeight="1">
      <c r="A80" s="127" t="s">
        <v>109</v>
      </c>
      <c r="B80" s="141">
        <f t="shared" si="13"/>
        <v>0</v>
      </c>
      <c r="C80" s="130"/>
      <c r="D80" s="142"/>
      <c r="E80" s="67"/>
      <c r="F80" s="143"/>
      <c r="G80" s="143"/>
      <c r="H80" s="24" t="str">
        <f t="shared" si="14"/>
        <v/>
      </c>
      <c r="I80" s="10"/>
      <c r="J80" s="11"/>
      <c r="K80" s="10"/>
      <c r="L80" s="10"/>
      <c r="M80" s="4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3"/>
      <c r="BZ80" s="3"/>
      <c r="CA80" s="4" t="str">
        <f t="shared" si="15"/>
        <v/>
      </c>
      <c r="CB80" s="4"/>
      <c r="CC80" s="4"/>
      <c r="CD80" s="4"/>
      <c r="CE80" s="4"/>
      <c r="CF80" s="4"/>
      <c r="CG80" s="5"/>
      <c r="CH80" s="5">
        <f t="shared" si="16"/>
        <v>0</v>
      </c>
      <c r="CI80" s="5"/>
      <c r="CJ80" s="5"/>
      <c r="CK80" s="5"/>
      <c r="CL80" s="5"/>
      <c r="CM80" s="5"/>
      <c r="CN80" s="5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</row>
    <row r="81" spans="1:104" ht="16.5" customHeight="1">
      <c r="A81" s="127" t="s">
        <v>110</v>
      </c>
      <c r="B81" s="141">
        <f t="shared" si="13"/>
        <v>0</v>
      </c>
      <c r="C81" s="130"/>
      <c r="D81" s="142"/>
      <c r="E81" s="67"/>
      <c r="F81" s="143"/>
      <c r="G81" s="143"/>
      <c r="H81" s="24" t="str">
        <f t="shared" si="14"/>
        <v/>
      </c>
      <c r="I81" s="99"/>
      <c r="J81" s="98"/>
      <c r="K81" s="99"/>
      <c r="L81" s="99"/>
      <c r="M81" s="144"/>
      <c r="N81" s="3"/>
      <c r="O81" s="3"/>
      <c r="P81" s="3"/>
      <c r="Q81" s="3"/>
      <c r="R81" s="3"/>
      <c r="S81" s="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3"/>
      <c r="BZ81" s="3"/>
      <c r="CA81" s="4" t="str">
        <f t="shared" si="15"/>
        <v/>
      </c>
      <c r="CB81" s="4"/>
      <c r="CC81" s="4"/>
      <c r="CD81" s="4"/>
      <c r="CE81" s="4"/>
      <c r="CF81" s="4"/>
      <c r="CG81" s="5"/>
      <c r="CH81" s="5">
        <f t="shared" si="16"/>
        <v>0</v>
      </c>
      <c r="CI81" s="5"/>
      <c r="CJ81" s="5"/>
      <c r="CK81" s="5"/>
      <c r="CL81" s="5"/>
      <c r="CM81" s="5"/>
      <c r="CN81" s="5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</row>
    <row r="82" spans="1:104" ht="16.5" customHeight="1">
      <c r="A82" s="140" t="s">
        <v>111</v>
      </c>
      <c r="B82" s="141">
        <f t="shared" si="13"/>
        <v>0</v>
      </c>
      <c r="C82" s="130"/>
      <c r="D82" s="142"/>
      <c r="E82" s="67"/>
      <c r="F82" s="143"/>
      <c r="G82" s="143"/>
      <c r="H82" s="24" t="str">
        <f t="shared" si="14"/>
        <v/>
      </c>
      <c r="I82" s="99"/>
      <c r="J82" s="98"/>
      <c r="K82" s="99"/>
      <c r="L82" s="99"/>
      <c r="M82" s="144"/>
      <c r="N82" s="3"/>
      <c r="O82" s="3"/>
      <c r="P82" s="3"/>
      <c r="Q82" s="3"/>
      <c r="R82" s="3"/>
      <c r="S82" s="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3"/>
      <c r="BZ82" s="3"/>
      <c r="CA82" s="4" t="str">
        <f t="shared" si="15"/>
        <v/>
      </c>
      <c r="CB82" s="4"/>
      <c r="CC82" s="4"/>
      <c r="CD82" s="4"/>
      <c r="CE82" s="4"/>
      <c r="CF82" s="4"/>
      <c r="CG82" s="5"/>
      <c r="CH82" s="5">
        <f t="shared" si="16"/>
        <v>0</v>
      </c>
      <c r="CI82" s="5"/>
      <c r="CJ82" s="5"/>
      <c r="CK82" s="5"/>
      <c r="CL82" s="5"/>
      <c r="CM82" s="5"/>
      <c r="CN82" s="5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</row>
    <row r="83" spans="1:104" ht="16.5" customHeight="1">
      <c r="A83" s="145" t="s">
        <v>112</v>
      </c>
      <c r="B83" s="146">
        <f t="shared" si="13"/>
        <v>0</v>
      </c>
      <c r="C83" s="130"/>
      <c r="D83" s="142"/>
      <c r="E83" s="67"/>
      <c r="F83" s="147"/>
      <c r="G83" s="147"/>
      <c r="H83" s="24" t="str">
        <f t="shared" si="14"/>
        <v/>
      </c>
      <c r="I83" s="99"/>
      <c r="J83" s="98"/>
      <c r="K83" s="99"/>
      <c r="L83" s="99"/>
      <c r="M83" s="144"/>
      <c r="N83" s="3"/>
      <c r="O83" s="3"/>
      <c r="P83" s="3"/>
      <c r="Q83" s="3"/>
      <c r="R83" s="3"/>
      <c r="S83" s="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3"/>
      <c r="BZ83" s="3"/>
      <c r="CA83" s="4" t="str">
        <f t="shared" si="15"/>
        <v/>
      </c>
      <c r="CB83" s="4"/>
      <c r="CC83" s="4"/>
      <c r="CD83" s="4"/>
      <c r="CE83" s="4"/>
      <c r="CF83" s="4"/>
      <c r="CG83" s="5"/>
      <c r="CH83" s="5">
        <f t="shared" si="16"/>
        <v>0</v>
      </c>
      <c r="CI83" s="5"/>
      <c r="CJ83" s="5"/>
      <c r="CK83" s="5"/>
      <c r="CL83" s="5"/>
      <c r="CM83" s="5"/>
      <c r="CN83" s="5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</row>
    <row r="84" spans="1:104" ht="16.5" customHeight="1">
      <c r="A84" s="148" t="s">
        <v>5</v>
      </c>
      <c r="B84" s="149">
        <f t="shared" ref="B84:G84" si="17">SUM(B77:B83)</f>
        <v>0</v>
      </c>
      <c r="C84" s="150">
        <f t="shared" si="17"/>
        <v>0</v>
      </c>
      <c r="D84" s="151">
        <f t="shared" si="17"/>
        <v>0</v>
      </c>
      <c r="E84" s="152">
        <f t="shared" si="17"/>
        <v>0</v>
      </c>
      <c r="F84" s="153">
        <f t="shared" si="17"/>
        <v>0</v>
      </c>
      <c r="G84" s="153">
        <f t="shared" si="17"/>
        <v>0</v>
      </c>
      <c r="H84" s="24" t="str">
        <f t="shared" si="14"/>
        <v/>
      </c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3"/>
      <c r="BZ84" s="3"/>
      <c r="CA84" s="4" t="str">
        <f>IF(CG84=1," * El total de causas de suspensión debe coincidir con la suma de Suspendidos de la sección D. ","")</f>
        <v/>
      </c>
      <c r="CB84" s="4"/>
      <c r="CC84" s="4"/>
      <c r="CD84" s="4"/>
      <c r="CE84" s="4"/>
      <c r="CF84" s="4"/>
      <c r="CG84" s="5">
        <f>IF(B84&lt;&gt;(H73+I73),1,0)</f>
        <v>0</v>
      </c>
      <c r="CH84" s="5"/>
      <c r="CI84" s="5"/>
      <c r="CJ84" s="5"/>
      <c r="CK84" s="5"/>
      <c r="CL84" s="5"/>
      <c r="CM84" s="5"/>
      <c r="CN84" s="5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</row>
    <row r="85" spans="1:104" ht="19.5" customHeight="1">
      <c r="A85" s="154" t="s">
        <v>113</v>
      </c>
      <c r="C85" s="155"/>
      <c r="D85" s="155"/>
      <c r="E85" s="15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3"/>
      <c r="BZ85" s="3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</row>
    <row r="86" spans="1:104" ht="13.5" customHeight="1">
      <c r="A86" s="192" t="s">
        <v>114</v>
      </c>
      <c r="B86" s="192" t="s">
        <v>115</v>
      </c>
      <c r="C86" s="210" t="s">
        <v>116</v>
      </c>
      <c r="D86" s="195"/>
      <c r="E86" s="195"/>
      <c r="F86" s="211" t="s">
        <v>117</v>
      </c>
      <c r="G86" s="21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3"/>
      <c r="BZ86" s="3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</row>
    <row r="87" spans="1:104" ht="13.5" customHeight="1">
      <c r="A87" s="193"/>
      <c r="B87" s="193"/>
      <c r="C87" s="55" t="s">
        <v>118</v>
      </c>
      <c r="D87" s="96" t="s">
        <v>119</v>
      </c>
      <c r="E87" s="15" t="s">
        <v>120</v>
      </c>
      <c r="F87" s="157" t="s">
        <v>121</v>
      </c>
      <c r="G87" s="158" t="s">
        <v>122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3"/>
      <c r="BZ87" s="3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</row>
    <row r="88" spans="1:104" ht="21.75" customHeight="1">
      <c r="A88" s="159" t="s">
        <v>123</v>
      </c>
      <c r="B88" s="136">
        <f t="shared" ref="B88:B89" si="18">SUM(C88:E88)</f>
        <v>0</v>
      </c>
      <c r="C88" s="60"/>
      <c r="D88" s="82"/>
      <c r="E88" s="160"/>
      <c r="F88" s="161"/>
      <c r="G88" s="83"/>
      <c r="H88" s="24" t="str">
        <f t="shared" ref="H88:H89" si="19">CA88&amp;CB88&amp;CC88&amp;CD88</f>
        <v/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3"/>
      <c r="BZ88" s="3"/>
      <c r="CA88" s="4" t="str">
        <f t="shared" ref="CA88:CA89" si="20">IF(CG88=1,"* No olvide digitar Trans Masculino (Digite 0 si no tiene). ","")</f>
        <v/>
      </c>
      <c r="CB88" s="4" t="str">
        <f t="shared" ref="CB88:CB89" si="21">IF(CH88=1,"* No olvide digitar Trans Femenino (Digite 0 si no tiene). ","")</f>
        <v/>
      </c>
      <c r="CC88" s="4" t="str">
        <f t="shared" ref="CC88:CC89" si="22">IF(CI88=1,"* La cantidad de Trans Masculinos no puede superar el Total. ","")</f>
        <v/>
      </c>
      <c r="CD88" s="4" t="str">
        <f t="shared" ref="CD88:CD89" si="23">IF(CJ88=1,"* La cantidad de Trans Femeninos no puede superar el Total. ","")</f>
        <v/>
      </c>
      <c r="CE88" s="4"/>
      <c r="CF88" s="4"/>
      <c r="CG88" s="5">
        <f t="shared" ref="CG88:CG89" si="24">IF(AND(B88&lt;&gt;0,F88=""),1,0)</f>
        <v>0</v>
      </c>
      <c r="CH88" s="5">
        <f t="shared" ref="CH88:CH89" si="25">IF(AND(B88&lt;&gt;0,G88=""),1,0)</f>
        <v>0</v>
      </c>
      <c r="CI88" s="5">
        <f t="shared" ref="CI88:CI89" si="26">IF(F88&gt;B88,1,0)</f>
        <v>0</v>
      </c>
      <c r="CJ88" s="5">
        <f t="shared" ref="CJ88:CJ89" si="27">IF(G88&gt;B88,1,0)</f>
        <v>0</v>
      </c>
      <c r="CK88" s="5"/>
      <c r="CL88" s="5"/>
      <c r="CM88" s="5"/>
      <c r="CN88" s="5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</row>
    <row r="89" spans="1:104" ht="21.75" customHeight="1">
      <c r="A89" s="162" t="s">
        <v>124</v>
      </c>
      <c r="B89" s="163">
        <f t="shared" si="18"/>
        <v>0</v>
      </c>
      <c r="C89" s="71"/>
      <c r="D89" s="89"/>
      <c r="E89" s="164"/>
      <c r="F89" s="165"/>
      <c r="G89" s="74"/>
      <c r="H89" s="24" t="str">
        <f t="shared" si="19"/>
        <v/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3"/>
      <c r="BZ89" s="3"/>
      <c r="CA89" s="4" t="str">
        <f t="shared" si="20"/>
        <v/>
      </c>
      <c r="CB89" s="4" t="str">
        <f t="shared" si="21"/>
        <v/>
      </c>
      <c r="CC89" s="4" t="str">
        <f t="shared" si="22"/>
        <v/>
      </c>
      <c r="CD89" s="4" t="str">
        <f t="shared" si="23"/>
        <v/>
      </c>
      <c r="CE89" s="4"/>
      <c r="CF89" s="4"/>
      <c r="CG89" s="5">
        <f t="shared" si="24"/>
        <v>0</v>
      </c>
      <c r="CH89" s="5">
        <f t="shared" si="25"/>
        <v>0</v>
      </c>
      <c r="CI89" s="5">
        <f t="shared" si="26"/>
        <v>0</v>
      </c>
      <c r="CJ89" s="5">
        <f t="shared" si="27"/>
        <v>0</v>
      </c>
      <c r="CK89" s="5"/>
      <c r="CL89" s="5"/>
      <c r="CM89" s="5"/>
      <c r="CN89" s="5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</row>
    <row r="90" spans="1:104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3"/>
      <c r="BZ90" s="3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</row>
    <row r="91" spans="1:104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3"/>
      <c r="BZ91" s="3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</row>
    <row r="92" spans="1:104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3"/>
      <c r="BZ92" s="3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</row>
    <row r="93" spans="1:104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3"/>
      <c r="BZ93" s="3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</row>
    <row r="94" spans="1:10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3"/>
      <c r="BZ94" s="3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</row>
    <row r="95" spans="1:104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3"/>
      <c r="BZ95" s="3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</row>
    <row r="96" spans="1:104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3"/>
      <c r="BZ96" s="3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</row>
    <row r="97" spans="1:104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3"/>
      <c r="BZ97" s="3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</row>
    <row r="98" spans="1:104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3"/>
      <c r="BZ98" s="3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</row>
    <row r="99" spans="1:104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3"/>
      <c r="BZ99" s="3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</row>
    <row r="100" spans="1:104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3"/>
      <c r="BZ100" s="3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</row>
    <row r="101" spans="1:104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3"/>
      <c r="BZ101" s="3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</row>
    <row r="102" spans="1:104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3"/>
      <c r="BZ102" s="3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</row>
    <row r="103" spans="1:104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3"/>
      <c r="BZ103" s="3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</row>
    <row r="104" spans="1: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3"/>
      <c r="BZ104" s="3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</row>
    <row r="105" spans="1:104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3"/>
      <c r="BZ105" s="3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</row>
    <row r="106" spans="1:104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3"/>
      <c r="BZ106" s="3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</row>
    <row r="107" spans="1:104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3"/>
      <c r="BZ107" s="3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</row>
    <row r="108" spans="1:104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3"/>
      <c r="BZ108" s="3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</row>
    <row r="109" spans="1:104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3"/>
      <c r="BZ109" s="3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</row>
    <row r="110" spans="1:104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3"/>
      <c r="BZ110" s="3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</row>
    <row r="111" spans="1:104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3"/>
      <c r="BZ111" s="3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</row>
    <row r="112" spans="1:104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3"/>
      <c r="BZ112" s="3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</row>
    <row r="113" spans="1:104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3"/>
      <c r="BZ113" s="3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</row>
    <row r="114" spans="1:10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3"/>
      <c r="BZ114" s="3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</row>
    <row r="115" spans="1:104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3"/>
      <c r="BZ115" s="3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</row>
    <row r="116" spans="1:104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3"/>
      <c r="BZ116" s="3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</row>
    <row r="117" spans="1:104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3"/>
      <c r="BZ117" s="3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</row>
    <row r="118" spans="1:104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3"/>
      <c r="BZ118" s="3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</row>
    <row r="119" spans="1:104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3"/>
      <c r="BZ119" s="3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</row>
    <row r="120" spans="1:104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3"/>
      <c r="BZ120" s="3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</row>
    <row r="121" spans="1:104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3"/>
      <c r="BZ121" s="3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</row>
    <row r="122" spans="1:104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3"/>
      <c r="BZ122" s="3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</row>
    <row r="123" spans="1:104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3"/>
      <c r="BZ123" s="3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</row>
    <row r="124" spans="1:10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3"/>
      <c r="BZ124" s="3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</row>
    <row r="125" spans="1:104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3"/>
      <c r="BZ125" s="3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</row>
    <row r="126" spans="1:104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3"/>
      <c r="BZ126" s="3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</row>
    <row r="127" spans="1:104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3"/>
      <c r="BZ127" s="3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</row>
    <row r="128" spans="1:104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3"/>
      <c r="BZ128" s="3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</row>
    <row r="129" spans="1:104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3"/>
      <c r="BZ129" s="3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</row>
    <row r="130" spans="1:104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3"/>
      <c r="BZ130" s="3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</row>
    <row r="131" spans="1:104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3"/>
      <c r="BZ131" s="3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</row>
    <row r="132" spans="1:104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3"/>
      <c r="BZ132" s="3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</row>
    <row r="133" spans="1:104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3"/>
      <c r="BZ133" s="3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</row>
    <row r="134" spans="1:10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3"/>
      <c r="BZ134" s="3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</row>
    <row r="135" spans="1:104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3"/>
      <c r="BZ135" s="3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</row>
    <row r="136" spans="1:104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3"/>
      <c r="BZ136" s="3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</row>
    <row r="137" spans="1:104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3"/>
      <c r="BZ137" s="3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</row>
    <row r="138" spans="1:104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3"/>
      <c r="BZ138" s="3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</row>
    <row r="139" spans="1:104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3"/>
      <c r="BZ139" s="3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</row>
    <row r="140" spans="1:104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3"/>
      <c r="BZ140" s="3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</row>
    <row r="141" spans="1:104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3"/>
      <c r="BZ141" s="3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</row>
    <row r="142" spans="1:104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3"/>
      <c r="BZ142" s="3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</row>
    <row r="143" spans="1:104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3"/>
      <c r="BZ143" s="3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</row>
    <row r="144" spans="1:104" ht="18" hidden="1" customHeight="1">
      <c r="A144" s="166" t="e">
        <f>SUM(#REF!,#REF!,B21:B29,B32:B34,C12:C18,B37:B39,B48,C51:C55,B73:I73,B84,B88:B89)</f>
        <v>#REF!</v>
      </c>
      <c r="B144" s="166">
        <f>SUM(CG3:CN48)</f>
        <v>0</v>
      </c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66"/>
      <c r="AH144" s="166"/>
      <c r="AI144" s="166"/>
      <c r="AJ144" s="166"/>
      <c r="AK144" s="166"/>
      <c r="AL144" s="166"/>
      <c r="AM144" s="166"/>
      <c r="AN144" s="166"/>
      <c r="AO144" s="166"/>
      <c r="AP144" s="166"/>
      <c r="AQ144" s="166"/>
      <c r="AR144" s="166"/>
      <c r="AS144" s="166"/>
      <c r="AT144" s="166"/>
      <c r="AU144" s="166"/>
      <c r="AV144" s="166"/>
      <c r="AW144" s="166"/>
      <c r="AX144" s="166"/>
      <c r="AY144" s="166"/>
      <c r="AZ144" s="166"/>
      <c r="BA144" s="166"/>
      <c r="BB144" s="166"/>
      <c r="BC144" s="166"/>
      <c r="BD144" s="166"/>
      <c r="BE144" s="166"/>
      <c r="BF144" s="166"/>
      <c r="BG144" s="166"/>
      <c r="BH144" s="166"/>
      <c r="BI144" s="166"/>
      <c r="BJ144" s="166"/>
      <c r="BK144" s="166"/>
      <c r="BL144" s="166"/>
      <c r="BM144" s="166"/>
      <c r="BN144" s="166"/>
      <c r="BO144" s="166"/>
      <c r="BP144" s="166"/>
      <c r="BQ144" s="166"/>
      <c r="BR144" s="166"/>
      <c r="BS144" s="166"/>
      <c r="BT144" s="166"/>
      <c r="BU144" s="166"/>
      <c r="BV144" s="166"/>
      <c r="BW144" s="166"/>
      <c r="BX144" s="166"/>
      <c r="BY144" s="166"/>
      <c r="BZ144" s="166"/>
      <c r="CA144" s="166"/>
      <c r="CB144" s="166"/>
      <c r="CC144" s="166"/>
      <c r="CD144" s="166"/>
      <c r="CE144" s="166"/>
      <c r="CF144" s="166"/>
      <c r="CG144" s="166"/>
      <c r="CH144" s="166"/>
      <c r="CI144" s="166"/>
      <c r="CJ144" s="166"/>
      <c r="CK144" s="166"/>
      <c r="CL144" s="166"/>
      <c r="CM144" s="166"/>
      <c r="CN144" s="166"/>
      <c r="CO144" s="166"/>
      <c r="CP144" s="166"/>
      <c r="CQ144" s="166"/>
      <c r="CR144" s="166"/>
      <c r="CS144" s="166"/>
      <c r="CT144" s="166"/>
      <c r="CU144" s="166"/>
      <c r="CV144" s="166"/>
      <c r="CW144" s="166"/>
      <c r="CX144" s="166"/>
      <c r="CY144" s="166"/>
      <c r="CZ144" s="166"/>
    </row>
    <row r="145" spans="1:104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3"/>
      <c r="BZ145" s="3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</row>
    <row r="146" spans="1:104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3"/>
      <c r="BZ146" s="3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</row>
    <row r="147" spans="1:104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3"/>
      <c r="BZ147" s="3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</row>
    <row r="148" spans="1:104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3"/>
      <c r="BZ148" s="3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</row>
    <row r="149" spans="1:104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3"/>
      <c r="BZ149" s="3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</row>
    <row r="150" spans="1:104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3"/>
      <c r="BZ150" s="3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</row>
    <row r="151" spans="1:104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3"/>
      <c r="BZ151" s="3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</row>
    <row r="152" spans="1:104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3"/>
      <c r="BZ152" s="3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</row>
    <row r="153" spans="1:104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3"/>
      <c r="BZ153" s="3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</row>
    <row r="154" spans="1:10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3"/>
      <c r="BZ154" s="3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</row>
    <row r="155" spans="1:104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3"/>
      <c r="BZ155" s="3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</row>
    <row r="156" spans="1:104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3"/>
      <c r="BZ156" s="3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</row>
    <row r="157" spans="1:104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3"/>
      <c r="BZ157" s="3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</row>
    <row r="158" spans="1:104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3"/>
      <c r="BZ158" s="3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</row>
    <row r="159" spans="1:104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3"/>
      <c r="BZ159" s="3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</row>
    <row r="160" spans="1:104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3"/>
      <c r="BZ160" s="3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</row>
    <row r="161" spans="1:104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3"/>
      <c r="BZ161" s="3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</row>
    <row r="162" spans="1:104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3"/>
      <c r="BZ162" s="3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</row>
    <row r="163" spans="1:104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3"/>
      <c r="BZ163" s="3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</row>
    <row r="164" spans="1:10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3"/>
      <c r="BZ164" s="3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</row>
    <row r="165" spans="1:104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3"/>
      <c r="BZ165" s="3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</row>
    <row r="166" spans="1:104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3"/>
      <c r="BZ166" s="3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</row>
    <row r="167" spans="1:104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3"/>
      <c r="BZ167" s="3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</row>
    <row r="168" spans="1:104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3"/>
      <c r="BZ168" s="3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</row>
    <row r="169" spans="1:104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3"/>
      <c r="BZ169" s="3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</row>
    <row r="170" spans="1:104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3"/>
      <c r="BZ170" s="3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</row>
    <row r="171" spans="1:104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3"/>
      <c r="BZ171" s="3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</row>
    <row r="172" spans="1:104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3"/>
      <c r="BZ172" s="3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</row>
    <row r="173" spans="1:104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3"/>
      <c r="BZ173" s="3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</row>
    <row r="174" spans="1:10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3"/>
      <c r="BZ174" s="3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</row>
    <row r="175" spans="1:104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3"/>
      <c r="BZ175" s="3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</row>
    <row r="176" spans="1:104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3"/>
      <c r="BZ176" s="3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</row>
    <row r="177" spans="1:104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3"/>
      <c r="BZ177" s="3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</row>
    <row r="178" spans="1:104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3"/>
      <c r="BZ178" s="3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</row>
    <row r="179" spans="1:104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3"/>
      <c r="BZ179" s="3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</row>
    <row r="180" spans="1:104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3"/>
      <c r="BZ180" s="3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</row>
    <row r="181" spans="1:104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3"/>
      <c r="BZ181" s="3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</row>
    <row r="182" spans="1:104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3"/>
      <c r="BZ182" s="3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</row>
    <row r="183" spans="1:104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3"/>
      <c r="BZ183" s="3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</row>
    <row r="184" spans="1:10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3"/>
      <c r="BZ184" s="3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</row>
    <row r="185" spans="1:104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3"/>
      <c r="BZ185" s="3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</row>
    <row r="186" spans="1:104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3"/>
      <c r="BZ186" s="3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</row>
    <row r="187" spans="1:104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3"/>
      <c r="BZ187" s="3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</row>
    <row r="188" spans="1:104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3"/>
      <c r="BZ188" s="3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</row>
    <row r="189" spans="1:104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3"/>
      <c r="BZ189" s="3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</row>
    <row r="190" spans="1:104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3"/>
      <c r="BZ190" s="3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</row>
    <row r="191" spans="1:104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3"/>
      <c r="BZ191" s="3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</row>
    <row r="192" spans="1:104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3"/>
      <c r="BZ192" s="3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</row>
    <row r="193" spans="1:104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3"/>
      <c r="BZ193" s="3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</row>
    <row r="194" spans="1:10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3"/>
      <c r="BZ194" s="3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</row>
    <row r="195" spans="1:104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3"/>
      <c r="BZ195" s="3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</row>
    <row r="196" spans="1:104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3"/>
      <c r="BZ196" s="3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</row>
    <row r="197" spans="1:104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3"/>
      <c r="BZ197" s="3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</row>
    <row r="198" spans="1:104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3"/>
      <c r="BZ198" s="3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</row>
    <row r="199" spans="1:104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3"/>
      <c r="BZ199" s="3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</row>
    <row r="200" spans="1:104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3"/>
      <c r="BZ200" s="3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</row>
    <row r="201" spans="1:104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3"/>
      <c r="BZ201" s="3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</row>
    <row r="202" spans="1:104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3"/>
      <c r="BZ202" s="3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</row>
    <row r="203" spans="1:104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3"/>
      <c r="BZ203" s="3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</row>
    <row r="204" spans="1:1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3"/>
      <c r="BZ204" s="3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</row>
    <row r="205" spans="1:104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3"/>
      <c r="BZ205" s="3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</row>
    <row r="206" spans="1:104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3"/>
      <c r="BZ206" s="3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</row>
    <row r="207" spans="1:104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3"/>
      <c r="BZ207" s="3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</row>
    <row r="208" spans="1:104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3"/>
      <c r="BZ208" s="3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</row>
    <row r="209" spans="1:104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3"/>
      <c r="BZ209" s="3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</row>
    <row r="210" spans="1:104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3"/>
      <c r="BZ210" s="3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</row>
    <row r="211" spans="1:104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3"/>
      <c r="BZ211" s="3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</row>
    <row r="212" spans="1:104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3"/>
      <c r="BZ212" s="3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</row>
    <row r="213" spans="1:104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3"/>
      <c r="BZ213" s="3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</row>
    <row r="214" spans="1:10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3"/>
      <c r="BZ214" s="3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</row>
    <row r="215" spans="1:104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3"/>
      <c r="BZ215" s="3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</row>
    <row r="216" spans="1:104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3"/>
      <c r="BZ216" s="3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</row>
    <row r="217" spans="1:104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3"/>
      <c r="BZ217" s="3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</row>
    <row r="218" spans="1:104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3"/>
      <c r="BZ218" s="3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</row>
    <row r="219" spans="1:104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3"/>
      <c r="BZ219" s="3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</row>
    <row r="220" spans="1:104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3"/>
      <c r="BZ220" s="3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</row>
    <row r="221" spans="1:104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3"/>
      <c r="BZ221" s="3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</row>
    <row r="222" spans="1:104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3"/>
      <c r="BZ222" s="3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</row>
    <row r="223" spans="1:104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3"/>
      <c r="BZ223" s="3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</row>
    <row r="224" spans="1:10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3"/>
      <c r="BZ224" s="3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</row>
    <row r="225" spans="1:104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3"/>
      <c r="BZ225" s="3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</row>
    <row r="226" spans="1:104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3"/>
      <c r="BZ226" s="3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</row>
    <row r="227" spans="1:104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3"/>
      <c r="BZ227" s="3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</row>
    <row r="228" spans="1:104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3"/>
      <c r="BZ228" s="3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</row>
    <row r="229" spans="1:104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3"/>
      <c r="BZ229" s="3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</row>
    <row r="230" spans="1:104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3"/>
      <c r="BZ230" s="3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</row>
    <row r="231" spans="1:104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3"/>
      <c r="BZ231" s="3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</row>
    <row r="232" spans="1:104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3"/>
      <c r="BZ232" s="3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</row>
    <row r="233" spans="1:104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3"/>
      <c r="BZ233" s="3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</row>
    <row r="234" spans="1:10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3"/>
      <c r="BZ234" s="3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</row>
    <row r="235" spans="1:104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3"/>
      <c r="BZ235" s="3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</row>
    <row r="236" spans="1:104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3"/>
      <c r="BZ236" s="3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</row>
    <row r="237" spans="1:104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3"/>
      <c r="BZ237" s="3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</row>
    <row r="238" spans="1:104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3"/>
      <c r="BZ238" s="3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</row>
    <row r="239" spans="1:104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3"/>
      <c r="BZ239" s="3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</row>
    <row r="240" spans="1:104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3"/>
      <c r="BZ240" s="3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</row>
    <row r="241" spans="1:104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3"/>
      <c r="BZ241" s="3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</row>
    <row r="242" spans="1:104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3"/>
      <c r="BZ242" s="3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</row>
    <row r="243" spans="1:104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3"/>
      <c r="BZ243" s="3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</row>
    <row r="244" spans="1:10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3"/>
      <c r="BZ244" s="3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</row>
    <row r="245" spans="1:104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3"/>
      <c r="BZ245" s="3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</row>
    <row r="246" spans="1:104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3"/>
      <c r="BZ246" s="3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</row>
    <row r="247" spans="1:104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3"/>
      <c r="BZ247" s="3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</row>
    <row r="248" spans="1:104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3"/>
      <c r="BZ248" s="3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</row>
    <row r="249" spans="1:104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3"/>
      <c r="BZ249" s="3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</row>
    <row r="250" spans="1:104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3"/>
      <c r="BZ250" s="3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</row>
    <row r="251" spans="1:104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3"/>
      <c r="BZ251" s="3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</row>
    <row r="252" spans="1:104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3"/>
      <c r="BZ252" s="3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</row>
    <row r="253" spans="1:104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3"/>
      <c r="BZ253" s="3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</row>
    <row r="254" spans="1:10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3"/>
      <c r="BZ254" s="3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</row>
    <row r="255" spans="1:104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3"/>
      <c r="BZ255" s="3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</row>
    <row r="256" spans="1:104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3"/>
      <c r="BZ256" s="3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</row>
    <row r="257" spans="1:104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3"/>
      <c r="BZ257" s="3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</row>
    <row r="258" spans="1:104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3"/>
      <c r="BZ258" s="3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</row>
    <row r="259" spans="1:104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3"/>
      <c r="BZ259" s="3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</row>
    <row r="260" spans="1:104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3"/>
      <c r="BZ260" s="3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</row>
    <row r="261" spans="1:104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3"/>
      <c r="BZ261" s="3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</row>
    <row r="262" spans="1:104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3"/>
      <c r="BZ262" s="3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</row>
    <row r="263" spans="1:104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3"/>
      <c r="BZ263" s="3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</row>
    <row r="264" spans="1:10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3"/>
      <c r="BZ264" s="3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</row>
    <row r="265" spans="1:104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3"/>
      <c r="BZ265" s="3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</row>
    <row r="266" spans="1:104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3"/>
      <c r="BZ266" s="3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</row>
    <row r="267" spans="1:104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3"/>
      <c r="BZ267" s="3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</row>
    <row r="268" spans="1:104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3"/>
      <c r="BZ268" s="3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</row>
    <row r="269" spans="1:104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3"/>
      <c r="BZ269" s="3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</row>
    <row r="270" spans="1:104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3"/>
      <c r="BZ270" s="3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</row>
    <row r="271" spans="1:104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3"/>
      <c r="BZ271" s="3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</row>
    <row r="272" spans="1:104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3"/>
      <c r="BZ272" s="3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</row>
    <row r="273" spans="1:104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3"/>
      <c r="BZ273" s="3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</row>
    <row r="274" spans="1:10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3"/>
      <c r="BZ274" s="3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</row>
    <row r="275" spans="1:104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3"/>
      <c r="BZ275" s="3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</row>
    <row r="276" spans="1:104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3"/>
      <c r="BZ276" s="3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</row>
    <row r="277" spans="1:104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3"/>
      <c r="BZ277" s="3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</row>
    <row r="278" spans="1:104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3"/>
      <c r="BZ278" s="3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</row>
    <row r="279" spans="1:104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3"/>
      <c r="BZ279" s="3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</row>
    <row r="280" spans="1:104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3"/>
      <c r="BZ280" s="3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</row>
    <row r="281" spans="1:104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3"/>
      <c r="BZ281" s="3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</row>
    <row r="282" spans="1:104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3"/>
      <c r="BZ282" s="3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</row>
    <row r="283" spans="1:104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3"/>
      <c r="BZ283" s="3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</row>
    <row r="284" spans="1:10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3"/>
      <c r="BZ284" s="3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</row>
    <row r="285" spans="1:104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3"/>
      <c r="BZ285" s="3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</row>
    <row r="286" spans="1:104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3"/>
      <c r="BZ286" s="3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</row>
    <row r="287" spans="1:104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3"/>
      <c r="BZ287" s="3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</row>
    <row r="288" spans="1:104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3"/>
      <c r="BZ288" s="3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</row>
    <row r="289" spans="1:104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3"/>
      <c r="BZ289" s="3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</row>
    <row r="290" spans="1:104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3"/>
      <c r="BZ290" s="3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</row>
    <row r="291" spans="1:104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3"/>
      <c r="BZ291" s="3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</row>
    <row r="292" spans="1:104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3"/>
      <c r="BZ292" s="3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</row>
    <row r="293" spans="1:104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3"/>
      <c r="BZ293" s="3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</row>
    <row r="294" spans="1:10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3"/>
      <c r="BZ294" s="3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</row>
    <row r="295" spans="1:104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3"/>
      <c r="BZ295" s="3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</row>
    <row r="296" spans="1:104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3"/>
      <c r="BZ296" s="3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</row>
    <row r="297" spans="1:104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3"/>
      <c r="BZ297" s="3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</row>
    <row r="298" spans="1:104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3"/>
      <c r="BZ298" s="3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</row>
    <row r="299" spans="1:104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3"/>
      <c r="BZ299" s="3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</row>
    <row r="300" spans="1:104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3"/>
      <c r="BZ300" s="3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</row>
    <row r="301" spans="1:104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3"/>
      <c r="BZ301" s="3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</row>
    <row r="302" spans="1:104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3"/>
      <c r="BZ302" s="3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</row>
    <row r="303" spans="1:104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3"/>
      <c r="BZ303" s="3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</row>
    <row r="304" spans="1:1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3"/>
      <c r="BZ304" s="3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</row>
    <row r="305" spans="1:104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3"/>
      <c r="BZ305" s="3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</row>
    <row r="306" spans="1:104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3"/>
      <c r="BZ306" s="3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</row>
    <row r="307" spans="1:104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3"/>
      <c r="BZ307" s="3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</row>
    <row r="308" spans="1:104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3"/>
      <c r="BZ308" s="3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</row>
    <row r="309" spans="1:104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3"/>
      <c r="BZ309" s="3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</row>
    <row r="310" spans="1:104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3"/>
      <c r="BZ310" s="3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</row>
    <row r="311" spans="1:104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3"/>
      <c r="BZ311" s="3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</row>
    <row r="312" spans="1:104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3"/>
      <c r="BZ312" s="3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</row>
    <row r="313" spans="1:104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3"/>
      <c r="BZ313" s="3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</row>
    <row r="314" spans="1:10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3"/>
      <c r="BZ314" s="3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</row>
    <row r="315" spans="1:104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3"/>
      <c r="BZ315" s="3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</row>
    <row r="316" spans="1:104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3"/>
      <c r="BZ316" s="3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</row>
    <row r="317" spans="1:104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3"/>
      <c r="BZ317" s="3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</row>
    <row r="318" spans="1:104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3"/>
      <c r="BZ318" s="3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</row>
    <row r="319" spans="1:104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3"/>
      <c r="BZ319" s="3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</row>
    <row r="320" spans="1:104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3"/>
      <c r="BZ320" s="3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</row>
    <row r="321" spans="1:104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3"/>
      <c r="BZ321" s="3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</row>
    <row r="322" spans="1:104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3"/>
      <c r="BZ322" s="3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</row>
    <row r="323" spans="1:104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3"/>
      <c r="BZ323" s="3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</row>
    <row r="324" spans="1:10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3"/>
      <c r="BZ324" s="3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</row>
    <row r="325" spans="1:104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3"/>
      <c r="BZ325" s="3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</row>
    <row r="326" spans="1:104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3"/>
      <c r="BZ326" s="3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</row>
    <row r="327" spans="1:104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3"/>
      <c r="BZ327" s="3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</row>
    <row r="328" spans="1:104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3"/>
      <c r="BZ328" s="3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</row>
    <row r="329" spans="1:104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3"/>
      <c r="BZ329" s="3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</row>
    <row r="330" spans="1:104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3"/>
      <c r="BZ330" s="3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</row>
    <row r="331" spans="1:104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3"/>
      <c r="BZ331" s="3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</row>
    <row r="332" spans="1:104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3"/>
      <c r="BZ332" s="3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</row>
    <row r="333" spans="1:104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3"/>
      <c r="BZ333" s="3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</row>
    <row r="334" spans="1:10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3"/>
      <c r="BZ334" s="3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</row>
    <row r="335" spans="1:104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3"/>
      <c r="BZ335" s="3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</row>
    <row r="336" spans="1:104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3"/>
      <c r="BZ336" s="3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</row>
    <row r="337" spans="1:104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3"/>
      <c r="BZ337" s="3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</row>
    <row r="338" spans="1:104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3"/>
      <c r="BZ338" s="3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</row>
    <row r="339" spans="1:104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3"/>
      <c r="BZ339" s="3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</row>
    <row r="340" spans="1:104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3"/>
      <c r="BZ340" s="3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</row>
    <row r="341" spans="1:104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3"/>
      <c r="BZ341" s="3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</row>
    <row r="342" spans="1:104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3"/>
      <c r="BZ342" s="3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</row>
    <row r="343" spans="1:104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3"/>
      <c r="BZ343" s="3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</row>
    <row r="344" spans="1:10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3"/>
      <c r="BZ344" s="3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</row>
    <row r="345" spans="1:104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3"/>
      <c r="BZ345" s="3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</row>
    <row r="346" spans="1:104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3"/>
      <c r="BZ346" s="3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</row>
    <row r="347" spans="1:104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3"/>
      <c r="BZ347" s="3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</row>
    <row r="348" spans="1:104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3"/>
      <c r="BZ348" s="3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</row>
    <row r="349" spans="1:104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3"/>
      <c r="BZ349" s="3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</row>
    <row r="350" spans="1:104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3"/>
      <c r="BZ350" s="3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</row>
    <row r="351" spans="1:104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3"/>
      <c r="BZ351" s="3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</row>
    <row r="352" spans="1:104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3"/>
      <c r="BZ352" s="3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</row>
    <row r="353" spans="1:104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3"/>
      <c r="BZ353" s="3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</row>
    <row r="354" spans="1:10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3"/>
      <c r="BZ354" s="3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</row>
    <row r="355" spans="1:104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3"/>
      <c r="BZ355" s="3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</row>
    <row r="356" spans="1:104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3"/>
      <c r="BZ356" s="3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</row>
    <row r="357" spans="1:104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3"/>
      <c r="BZ357" s="3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</row>
    <row r="358" spans="1:104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3"/>
      <c r="BZ358" s="3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</row>
    <row r="359" spans="1:104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3"/>
      <c r="BZ359" s="3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</row>
    <row r="360" spans="1:104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3"/>
      <c r="BZ360" s="3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</row>
    <row r="361" spans="1:104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3"/>
      <c r="BZ361" s="3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</row>
    <row r="362" spans="1:104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3"/>
      <c r="BZ362" s="3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</row>
    <row r="363" spans="1:104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3"/>
      <c r="BZ363" s="3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</row>
    <row r="364" spans="1:10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3"/>
      <c r="BZ364" s="3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</row>
    <row r="365" spans="1:104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3"/>
      <c r="BZ365" s="3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</row>
    <row r="366" spans="1:104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3"/>
      <c r="BZ366" s="3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</row>
    <row r="367" spans="1:104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3"/>
      <c r="BZ367" s="3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</row>
    <row r="368" spans="1:104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3"/>
      <c r="BZ368" s="3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</row>
    <row r="369" spans="1:104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3"/>
      <c r="BZ369" s="3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</row>
    <row r="370" spans="1:104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3"/>
      <c r="BZ370" s="3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</row>
    <row r="371" spans="1:104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3"/>
      <c r="BZ371" s="3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</row>
    <row r="372" spans="1:104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3"/>
      <c r="BZ372" s="3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</row>
    <row r="373" spans="1:104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3"/>
      <c r="BZ373" s="3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</row>
    <row r="374" spans="1:10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3"/>
      <c r="BZ374" s="3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</row>
    <row r="375" spans="1:104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3"/>
      <c r="BZ375" s="3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</row>
    <row r="376" spans="1:104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3"/>
      <c r="BZ376" s="3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</row>
    <row r="377" spans="1:104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3"/>
      <c r="BZ377" s="3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</row>
    <row r="378" spans="1:104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3"/>
      <c r="BZ378" s="3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</row>
    <row r="379" spans="1:104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3"/>
      <c r="BZ379" s="3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</row>
    <row r="380" spans="1:104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3"/>
      <c r="BZ380" s="3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</row>
    <row r="381" spans="1:104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3"/>
      <c r="BZ381" s="3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</row>
    <row r="382" spans="1:104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3"/>
      <c r="BZ382" s="3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</row>
    <row r="383" spans="1:104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3"/>
      <c r="BZ383" s="3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</row>
    <row r="384" spans="1:10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3"/>
      <c r="BZ384" s="3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</row>
    <row r="385" spans="1:104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3"/>
      <c r="BZ385" s="3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</row>
    <row r="386" spans="1:104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3"/>
      <c r="BZ386" s="3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</row>
    <row r="387" spans="1:104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3"/>
      <c r="BZ387" s="3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</row>
    <row r="388" spans="1:104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3"/>
      <c r="BZ388" s="3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</row>
    <row r="389" spans="1:104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3"/>
      <c r="BZ389" s="3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</row>
    <row r="390" spans="1:104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3"/>
      <c r="BZ390" s="3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</row>
    <row r="391" spans="1:104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3"/>
      <c r="BZ391" s="3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</row>
    <row r="392" spans="1:104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3"/>
      <c r="BZ392" s="3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</row>
    <row r="393" spans="1:104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3"/>
      <c r="BZ393" s="3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</row>
    <row r="394" spans="1:10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3"/>
      <c r="BZ394" s="3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</row>
    <row r="395" spans="1:104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3"/>
      <c r="BZ395" s="3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</row>
    <row r="396" spans="1:104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3"/>
      <c r="BZ396" s="3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</row>
    <row r="397" spans="1:104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3"/>
      <c r="BZ397" s="3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</row>
    <row r="398" spans="1:104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3"/>
      <c r="BZ398" s="3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</row>
    <row r="399" spans="1:104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3"/>
      <c r="BZ399" s="3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</row>
    <row r="400" spans="1:104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3"/>
      <c r="BZ400" s="3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</row>
    <row r="401" spans="1:104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3"/>
      <c r="BZ401" s="3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</row>
    <row r="402" spans="1:104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3"/>
      <c r="BZ402" s="3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</row>
    <row r="403" spans="1:104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3"/>
      <c r="BZ403" s="3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</row>
    <row r="404" spans="1:1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3"/>
      <c r="BZ404" s="3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</row>
    <row r="405" spans="1:104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3"/>
      <c r="BZ405" s="3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</row>
    <row r="406" spans="1:104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3"/>
      <c r="BZ406" s="3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</row>
    <row r="407" spans="1:104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3"/>
      <c r="BZ407" s="3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</row>
    <row r="408" spans="1:104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3"/>
      <c r="BZ408" s="3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</row>
    <row r="409" spans="1:104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3"/>
      <c r="BZ409" s="3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</row>
    <row r="410" spans="1:104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3"/>
      <c r="BZ410" s="3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</row>
    <row r="411" spans="1:104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3"/>
      <c r="BZ411" s="3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</row>
    <row r="412" spans="1:104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3"/>
      <c r="BZ412" s="3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</row>
    <row r="413" spans="1:104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3"/>
      <c r="BZ413" s="3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</row>
    <row r="414" spans="1:10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3"/>
      <c r="BZ414" s="3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</row>
    <row r="415" spans="1:104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3"/>
      <c r="BZ415" s="3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</row>
    <row r="416" spans="1:104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3"/>
      <c r="BZ416" s="3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</row>
    <row r="417" spans="1:104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3"/>
      <c r="BZ417" s="3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</row>
    <row r="418" spans="1:104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3"/>
      <c r="BZ418" s="3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</row>
    <row r="419" spans="1:104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3"/>
      <c r="BZ419" s="3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</row>
    <row r="420" spans="1:104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3"/>
      <c r="BZ420" s="3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</row>
    <row r="421" spans="1:104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3"/>
      <c r="BZ421" s="3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</row>
    <row r="422" spans="1:104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3"/>
      <c r="BZ422" s="3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</row>
    <row r="423" spans="1:104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3"/>
      <c r="BZ423" s="3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</row>
    <row r="424" spans="1:10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3"/>
      <c r="BZ424" s="3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</row>
    <row r="425" spans="1:104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3"/>
      <c r="BZ425" s="3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</row>
    <row r="426" spans="1:104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3"/>
      <c r="BZ426" s="3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</row>
    <row r="427" spans="1:104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3"/>
      <c r="BZ427" s="3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</row>
    <row r="428" spans="1:104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3"/>
      <c r="BZ428" s="3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</row>
    <row r="429" spans="1:104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3"/>
      <c r="BZ429" s="3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</row>
    <row r="430" spans="1:104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3"/>
      <c r="BZ430" s="3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</row>
    <row r="431" spans="1:104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3"/>
      <c r="BZ431" s="3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</row>
    <row r="432" spans="1:104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3"/>
      <c r="BZ432" s="3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</row>
    <row r="433" spans="1:104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3"/>
      <c r="BZ433" s="3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</row>
    <row r="434" spans="1:10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3"/>
      <c r="BZ434" s="3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</row>
    <row r="435" spans="1:104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3"/>
      <c r="BZ435" s="3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</row>
    <row r="436" spans="1:104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3"/>
      <c r="BZ436" s="3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</row>
    <row r="437" spans="1:104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3"/>
      <c r="BZ437" s="3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</row>
    <row r="438" spans="1:104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3"/>
      <c r="BZ438" s="3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</row>
    <row r="439" spans="1:104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3"/>
      <c r="BZ439" s="3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</row>
    <row r="440" spans="1:104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3"/>
      <c r="BZ440" s="3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</row>
    <row r="441" spans="1:104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3"/>
      <c r="BZ441" s="3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</row>
    <row r="442" spans="1:104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3"/>
      <c r="BZ442" s="3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</row>
    <row r="443" spans="1:104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3"/>
      <c r="BZ443" s="3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</row>
    <row r="444" spans="1:10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3"/>
      <c r="BZ444" s="3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</row>
    <row r="445" spans="1:104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3"/>
      <c r="BZ445" s="3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</row>
    <row r="446" spans="1:104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3"/>
      <c r="BZ446" s="3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</row>
    <row r="447" spans="1:104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3"/>
      <c r="BZ447" s="3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</row>
    <row r="448" spans="1:104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3"/>
      <c r="BZ448" s="3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</row>
    <row r="449" spans="1:104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3"/>
      <c r="BZ449" s="3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</row>
    <row r="450" spans="1:104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3"/>
      <c r="BZ450" s="3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</row>
    <row r="451" spans="1:104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3"/>
      <c r="BZ451" s="3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</row>
    <row r="452" spans="1:104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3"/>
      <c r="BZ452" s="3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</row>
    <row r="453" spans="1:104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3"/>
      <c r="BZ453" s="3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</row>
    <row r="454" spans="1:10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3"/>
      <c r="BZ454" s="3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</row>
    <row r="455" spans="1:104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3"/>
      <c r="BZ455" s="3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</row>
    <row r="456" spans="1:104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3"/>
      <c r="BZ456" s="3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</row>
    <row r="457" spans="1:104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3"/>
      <c r="BZ457" s="3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</row>
    <row r="458" spans="1:104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3"/>
      <c r="BZ458" s="3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</row>
    <row r="459" spans="1:104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3"/>
      <c r="BZ459" s="3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</row>
    <row r="460" spans="1:104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3"/>
      <c r="BZ460" s="3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</row>
    <row r="461" spans="1:104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3"/>
      <c r="BZ461" s="3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</row>
    <row r="462" spans="1:104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3"/>
      <c r="BZ462" s="3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</row>
    <row r="463" spans="1:104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3"/>
      <c r="BZ463" s="3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</row>
    <row r="464" spans="1:10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3"/>
      <c r="BZ464" s="3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</row>
    <row r="465" spans="1:104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3"/>
      <c r="BZ465" s="3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</row>
    <row r="466" spans="1:104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3"/>
      <c r="BZ466" s="3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</row>
    <row r="467" spans="1:104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3"/>
      <c r="BZ467" s="3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</row>
    <row r="468" spans="1:104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3"/>
      <c r="BZ468" s="3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</row>
    <row r="469" spans="1:104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3"/>
      <c r="BZ469" s="3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</row>
    <row r="470" spans="1:104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3"/>
      <c r="BZ470" s="3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</row>
    <row r="471" spans="1:104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3"/>
      <c r="BZ471" s="3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</row>
    <row r="472" spans="1:104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3"/>
      <c r="BZ472" s="3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</row>
    <row r="473" spans="1:104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3"/>
      <c r="BZ473" s="3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</row>
    <row r="474" spans="1:10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3"/>
      <c r="BZ474" s="3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</row>
    <row r="475" spans="1:104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3"/>
      <c r="BZ475" s="3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</row>
    <row r="476" spans="1:104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3"/>
      <c r="BZ476" s="3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</row>
    <row r="477" spans="1:104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3"/>
      <c r="BZ477" s="3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</row>
    <row r="478" spans="1:104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3"/>
      <c r="BZ478" s="3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</row>
    <row r="479" spans="1:104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3"/>
      <c r="BZ479" s="3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</row>
    <row r="480" spans="1:104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3"/>
      <c r="BZ480" s="3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</row>
    <row r="481" spans="1:104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3"/>
      <c r="BZ481" s="3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</row>
    <row r="482" spans="1:104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3"/>
      <c r="BZ482" s="3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</row>
    <row r="483" spans="1:104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3"/>
      <c r="BZ483" s="3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</row>
    <row r="484" spans="1:10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3"/>
      <c r="BZ484" s="3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</row>
    <row r="485" spans="1:104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3"/>
      <c r="BZ485" s="3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</row>
    <row r="486" spans="1:104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3"/>
      <c r="BZ486" s="3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</row>
    <row r="487" spans="1:104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3"/>
      <c r="BZ487" s="3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</row>
    <row r="488" spans="1:104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3"/>
      <c r="BZ488" s="3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</row>
    <row r="489" spans="1:104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3"/>
      <c r="BZ489" s="3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</row>
    <row r="490" spans="1:104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3"/>
      <c r="BZ490" s="3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</row>
    <row r="491" spans="1:104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3"/>
      <c r="BZ491" s="3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</row>
    <row r="492" spans="1:104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3"/>
      <c r="BZ492" s="3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</row>
    <row r="493" spans="1:104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3"/>
      <c r="BZ493" s="3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</row>
    <row r="494" spans="1:10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3"/>
      <c r="BZ494" s="3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</row>
    <row r="495" spans="1:104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3"/>
      <c r="BZ495" s="3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</row>
    <row r="496" spans="1:104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3"/>
      <c r="BZ496" s="3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</row>
    <row r="497" spans="1:104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3"/>
      <c r="BZ497" s="3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</row>
    <row r="498" spans="1:104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3"/>
      <c r="BZ498" s="3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</row>
    <row r="499" spans="1:104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3"/>
      <c r="BZ499" s="3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</row>
    <row r="500" spans="1:104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3"/>
      <c r="BZ500" s="3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</row>
    <row r="501" spans="1:104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3"/>
      <c r="BZ501" s="3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</row>
    <row r="502" spans="1:104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3"/>
      <c r="BZ502" s="3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</row>
    <row r="503" spans="1:104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3"/>
      <c r="BZ503" s="3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</row>
    <row r="504" spans="1:1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3"/>
      <c r="BZ504" s="3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</row>
    <row r="505" spans="1:104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3"/>
      <c r="BZ505" s="3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</row>
    <row r="506" spans="1:104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3"/>
      <c r="BZ506" s="3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</row>
    <row r="507" spans="1:104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3"/>
      <c r="BZ507" s="3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</row>
    <row r="508" spans="1:104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3"/>
      <c r="BZ508" s="3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</row>
    <row r="509" spans="1:104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3"/>
      <c r="BZ509" s="3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</row>
    <row r="510" spans="1:104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3"/>
      <c r="BZ510" s="3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</row>
    <row r="511" spans="1:104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3"/>
      <c r="BZ511" s="3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</row>
    <row r="512" spans="1:104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3"/>
      <c r="BZ512" s="3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</row>
    <row r="513" spans="1:104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3"/>
      <c r="BZ513" s="3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</row>
    <row r="514" spans="1:10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3"/>
      <c r="BZ514" s="3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</row>
    <row r="515" spans="1:104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3"/>
      <c r="BZ515" s="3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</row>
    <row r="516" spans="1:104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3"/>
      <c r="BZ516" s="3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</row>
    <row r="517" spans="1:104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3"/>
      <c r="BZ517" s="3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</row>
    <row r="518" spans="1:104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3"/>
      <c r="BZ518" s="3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</row>
    <row r="519" spans="1:104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3"/>
      <c r="BZ519" s="3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</row>
    <row r="520" spans="1:104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3"/>
      <c r="BZ520" s="3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</row>
    <row r="521" spans="1:104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3"/>
      <c r="BZ521" s="3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</row>
    <row r="522" spans="1:104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3"/>
      <c r="BZ522" s="3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</row>
    <row r="523" spans="1:104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3"/>
      <c r="BZ523" s="3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</row>
    <row r="524" spans="1:10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3"/>
      <c r="BZ524" s="3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</row>
    <row r="525" spans="1:104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3"/>
      <c r="BZ525" s="3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</row>
    <row r="526" spans="1:104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3"/>
      <c r="BZ526" s="3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</row>
    <row r="527" spans="1:104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3"/>
      <c r="BZ527" s="3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</row>
    <row r="528" spans="1:104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3"/>
      <c r="BZ528" s="3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</row>
    <row r="529" spans="1:104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3"/>
      <c r="BZ529" s="3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</row>
    <row r="530" spans="1:104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3"/>
      <c r="BZ530" s="3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</row>
    <row r="531" spans="1:104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3"/>
      <c r="BZ531" s="3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</row>
    <row r="532" spans="1:104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3"/>
      <c r="BZ532" s="3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</row>
    <row r="533" spans="1:104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3"/>
      <c r="BZ533" s="3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</row>
    <row r="534" spans="1:10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3"/>
      <c r="BZ534" s="3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</row>
    <row r="535" spans="1:104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3"/>
      <c r="BZ535" s="3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</row>
    <row r="536" spans="1:104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3"/>
      <c r="BZ536" s="3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</row>
    <row r="537" spans="1:104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3"/>
      <c r="BZ537" s="3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</row>
    <row r="538" spans="1:104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3"/>
      <c r="BZ538" s="3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</row>
    <row r="539" spans="1:104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3"/>
      <c r="BZ539" s="3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</row>
    <row r="540" spans="1:104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3"/>
      <c r="BZ540" s="3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</row>
    <row r="541" spans="1:104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3"/>
      <c r="BZ541" s="3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</row>
    <row r="542" spans="1:104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3"/>
      <c r="BZ542" s="3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</row>
    <row r="543" spans="1:104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3"/>
      <c r="BZ543" s="3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</row>
    <row r="544" spans="1:10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3"/>
      <c r="BZ544" s="3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</row>
    <row r="545" spans="1:104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3"/>
      <c r="BZ545" s="3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</row>
    <row r="546" spans="1:104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3"/>
      <c r="BZ546" s="3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</row>
    <row r="547" spans="1:104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3"/>
      <c r="BZ547" s="3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</row>
    <row r="548" spans="1:104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3"/>
      <c r="BZ548" s="3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</row>
    <row r="549" spans="1:104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3"/>
      <c r="BZ549" s="3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</row>
    <row r="550" spans="1:104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3"/>
      <c r="BZ550" s="3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</row>
    <row r="551" spans="1:104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3"/>
      <c r="BZ551" s="3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</row>
    <row r="552" spans="1:104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3"/>
      <c r="BZ552" s="3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</row>
    <row r="553" spans="1:104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3"/>
      <c r="BZ553" s="3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</row>
    <row r="554" spans="1:10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3"/>
      <c r="BZ554" s="3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</row>
    <row r="555" spans="1:104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3"/>
      <c r="BZ555" s="3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</row>
    <row r="556" spans="1:104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3"/>
      <c r="BZ556" s="3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</row>
    <row r="557" spans="1:104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3"/>
      <c r="BZ557" s="3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</row>
    <row r="558" spans="1:104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3"/>
      <c r="BZ558" s="3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</row>
    <row r="559" spans="1:104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3"/>
      <c r="BZ559" s="3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</row>
    <row r="560" spans="1:104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3"/>
      <c r="BZ560" s="3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</row>
    <row r="561" spans="1:104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3"/>
      <c r="BZ561" s="3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</row>
    <row r="562" spans="1:104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3"/>
      <c r="BZ562" s="3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</row>
    <row r="563" spans="1:104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3"/>
      <c r="BZ563" s="3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</row>
    <row r="564" spans="1:10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3"/>
      <c r="BZ564" s="3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</row>
    <row r="565" spans="1:104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3"/>
      <c r="BZ565" s="3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</row>
    <row r="566" spans="1:104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3"/>
      <c r="BZ566" s="3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</row>
    <row r="567" spans="1:104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3"/>
      <c r="BZ567" s="3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</row>
    <row r="568" spans="1:104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3"/>
      <c r="BZ568" s="3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</row>
    <row r="569" spans="1:104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3"/>
      <c r="BZ569" s="3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</row>
    <row r="570" spans="1:104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3"/>
      <c r="BZ570" s="3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</row>
    <row r="571" spans="1:104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3"/>
      <c r="BZ571" s="3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</row>
    <row r="572" spans="1:104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3"/>
      <c r="BZ572" s="3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</row>
    <row r="573" spans="1:104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3"/>
      <c r="BZ573" s="3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</row>
    <row r="574" spans="1:10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3"/>
      <c r="BZ574" s="3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</row>
    <row r="575" spans="1:104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3"/>
      <c r="BZ575" s="3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</row>
    <row r="576" spans="1:104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3"/>
      <c r="BZ576" s="3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</row>
    <row r="577" spans="1:104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3"/>
      <c r="BZ577" s="3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</row>
    <row r="578" spans="1:104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3"/>
      <c r="BZ578" s="3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</row>
    <row r="579" spans="1:104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3"/>
      <c r="BZ579" s="3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</row>
    <row r="580" spans="1:104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3"/>
      <c r="BZ580" s="3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</row>
    <row r="581" spans="1:104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3"/>
      <c r="BZ581" s="3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</row>
    <row r="582" spans="1:104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3"/>
      <c r="BZ582" s="3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</row>
    <row r="583" spans="1:104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3"/>
      <c r="BZ583" s="3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</row>
    <row r="584" spans="1:10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3"/>
      <c r="BZ584" s="3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</row>
    <row r="585" spans="1:104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3"/>
      <c r="BZ585" s="3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</row>
    <row r="586" spans="1:104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3"/>
      <c r="BZ586" s="3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</row>
    <row r="587" spans="1:104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3"/>
      <c r="BZ587" s="3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</row>
    <row r="588" spans="1:104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3"/>
      <c r="BZ588" s="3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</row>
    <row r="589" spans="1:104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3"/>
      <c r="BZ589" s="3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</row>
    <row r="590" spans="1:104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3"/>
      <c r="BZ590" s="3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</row>
    <row r="591" spans="1:104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3"/>
      <c r="BZ591" s="3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</row>
    <row r="592" spans="1:104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3"/>
      <c r="BZ592" s="3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</row>
    <row r="593" spans="1:104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3"/>
      <c r="BZ593" s="3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</row>
    <row r="594" spans="1:10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3"/>
      <c r="BZ594" s="3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</row>
    <row r="595" spans="1:104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3"/>
      <c r="BZ595" s="3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</row>
    <row r="596" spans="1:104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3"/>
      <c r="BZ596" s="3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</row>
    <row r="597" spans="1:104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3"/>
      <c r="BZ597" s="3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</row>
    <row r="598" spans="1:104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3"/>
      <c r="BZ598" s="3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</row>
    <row r="599" spans="1:104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3"/>
      <c r="BZ599" s="3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</row>
    <row r="600" spans="1:104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3"/>
      <c r="BZ600" s="3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</row>
    <row r="601" spans="1:104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3"/>
      <c r="BZ601" s="3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</row>
    <row r="602" spans="1:104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3"/>
      <c r="BZ602" s="3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</row>
    <row r="603" spans="1:104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3"/>
      <c r="BZ603" s="3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</row>
    <row r="604" spans="1:1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3"/>
      <c r="BZ604" s="3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</row>
    <row r="605" spans="1:104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3"/>
      <c r="BZ605" s="3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</row>
    <row r="606" spans="1:104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3"/>
      <c r="BZ606" s="3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</row>
    <row r="607" spans="1:104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3"/>
      <c r="BZ607" s="3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</row>
    <row r="608" spans="1:104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3"/>
      <c r="BZ608" s="3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</row>
    <row r="609" spans="1:104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3"/>
      <c r="BZ609" s="3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</row>
    <row r="610" spans="1:104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3"/>
      <c r="BZ610" s="3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</row>
    <row r="611" spans="1:104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3"/>
      <c r="BZ611" s="3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</row>
    <row r="612" spans="1:104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3"/>
      <c r="BZ612" s="3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</row>
    <row r="613" spans="1:104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3"/>
      <c r="BZ613" s="3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</row>
    <row r="614" spans="1:10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3"/>
      <c r="BZ614" s="3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</row>
    <row r="615" spans="1:104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3"/>
      <c r="BZ615" s="3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</row>
    <row r="616" spans="1:104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3"/>
      <c r="BZ616" s="3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</row>
    <row r="617" spans="1:104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3"/>
      <c r="BZ617" s="3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</row>
    <row r="618" spans="1:104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3"/>
      <c r="BZ618" s="3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</row>
    <row r="619" spans="1:104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3"/>
      <c r="BZ619" s="3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</row>
    <row r="620" spans="1:104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3"/>
      <c r="BZ620" s="3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</row>
    <row r="621" spans="1:104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3"/>
      <c r="BZ621" s="3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</row>
    <row r="622" spans="1:104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3"/>
      <c r="BZ622" s="3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</row>
    <row r="623" spans="1:104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3"/>
      <c r="BZ623" s="3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</row>
    <row r="624" spans="1:10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3"/>
      <c r="BZ624" s="3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</row>
    <row r="625" spans="1:104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3"/>
      <c r="BZ625" s="3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</row>
    <row r="626" spans="1:104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3"/>
      <c r="BZ626" s="3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</row>
    <row r="627" spans="1:104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3"/>
      <c r="BZ627" s="3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</row>
    <row r="628" spans="1:104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3"/>
      <c r="BZ628" s="3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</row>
    <row r="629" spans="1:104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3"/>
      <c r="BZ629" s="3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</row>
    <row r="630" spans="1:104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3"/>
      <c r="BZ630" s="3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</row>
    <row r="631" spans="1:104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3"/>
      <c r="BZ631" s="3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</row>
    <row r="632" spans="1:104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3"/>
      <c r="BZ632" s="3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</row>
    <row r="633" spans="1:104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3"/>
      <c r="BZ633" s="3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</row>
    <row r="634" spans="1:10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3"/>
      <c r="BZ634" s="3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</row>
    <row r="635" spans="1:104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3"/>
      <c r="BZ635" s="3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</row>
    <row r="636" spans="1:104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3"/>
      <c r="BZ636" s="3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</row>
    <row r="637" spans="1:104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3"/>
      <c r="BZ637" s="3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</row>
    <row r="638" spans="1:104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3"/>
      <c r="BZ638" s="3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</row>
    <row r="639" spans="1:104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3"/>
      <c r="BZ639" s="3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</row>
    <row r="640" spans="1:104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3"/>
      <c r="BZ640" s="3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</row>
    <row r="641" spans="1:104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3"/>
      <c r="BZ641" s="3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</row>
    <row r="642" spans="1:104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3"/>
      <c r="BZ642" s="3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</row>
    <row r="643" spans="1:104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3"/>
      <c r="BZ643" s="3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</row>
    <row r="644" spans="1:10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3"/>
      <c r="BZ644" s="3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</row>
    <row r="645" spans="1:104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3"/>
      <c r="BZ645" s="3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</row>
    <row r="646" spans="1:104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3"/>
      <c r="BZ646" s="3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</row>
    <row r="647" spans="1:104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3"/>
      <c r="BZ647" s="3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</row>
    <row r="648" spans="1:104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3"/>
      <c r="BZ648" s="3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</row>
    <row r="649" spans="1:104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3"/>
      <c r="BZ649" s="3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</row>
    <row r="650" spans="1:104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3"/>
      <c r="BZ650" s="3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</row>
    <row r="651" spans="1:104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3"/>
      <c r="BZ651" s="3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</row>
    <row r="652" spans="1:104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3"/>
      <c r="BZ652" s="3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</row>
    <row r="653" spans="1:104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3"/>
      <c r="BZ653" s="3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</row>
    <row r="654" spans="1:10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3"/>
      <c r="BZ654" s="3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</row>
    <row r="655" spans="1:104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3"/>
      <c r="BZ655" s="3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</row>
    <row r="656" spans="1:104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3"/>
      <c r="BZ656" s="3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</row>
    <row r="657" spans="1:104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3"/>
      <c r="BZ657" s="3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</row>
    <row r="658" spans="1:104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3"/>
      <c r="BZ658" s="3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</row>
    <row r="659" spans="1:104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3"/>
      <c r="BZ659" s="3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</row>
    <row r="660" spans="1:104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3"/>
      <c r="BZ660" s="3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</row>
    <row r="661" spans="1:104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3"/>
      <c r="BZ661" s="3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</row>
    <row r="662" spans="1:104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3"/>
      <c r="BZ662" s="3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</row>
    <row r="663" spans="1:104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3"/>
      <c r="BZ663" s="3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</row>
    <row r="664" spans="1:10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3"/>
      <c r="BZ664" s="3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</row>
    <row r="665" spans="1:104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3"/>
      <c r="BZ665" s="3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</row>
    <row r="666" spans="1:104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3"/>
      <c r="BZ666" s="3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</row>
    <row r="667" spans="1:104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3"/>
      <c r="BZ667" s="3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</row>
    <row r="668" spans="1:104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3"/>
      <c r="BZ668" s="3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</row>
    <row r="669" spans="1:104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3"/>
      <c r="BZ669" s="3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</row>
    <row r="670" spans="1:104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3"/>
      <c r="BZ670" s="3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</row>
    <row r="671" spans="1:104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3"/>
      <c r="BZ671" s="3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</row>
    <row r="672" spans="1:104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3"/>
      <c r="BZ672" s="3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</row>
    <row r="673" spans="1:104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3"/>
      <c r="BZ673" s="3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</row>
    <row r="674" spans="1:10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3"/>
      <c r="BZ674" s="3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</row>
    <row r="675" spans="1:104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3"/>
      <c r="BZ675" s="3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</row>
    <row r="676" spans="1:104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3"/>
      <c r="BZ676" s="3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</row>
    <row r="677" spans="1:104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3"/>
      <c r="BZ677" s="3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</row>
    <row r="678" spans="1:104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3"/>
      <c r="BZ678" s="3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</row>
    <row r="679" spans="1:104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3"/>
      <c r="BZ679" s="3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</row>
    <row r="680" spans="1:104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3"/>
      <c r="BZ680" s="3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</row>
    <row r="681" spans="1:104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3"/>
      <c r="BZ681" s="3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</row>
    <row r="682" spans="1:104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3"/>
      <c r="BZ682" s="3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</row>
    <row r="683" spans="1:104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3"/>
      <c r="BZ683" s="3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</row>
    <row r="684" spans="1:10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3"/>
      <c r="BZ684" s="3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</row>
    <row r="685" spans="1:104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3"/>
      <c r="BZ685" s="3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</row>
    <row r="686" spans="1:104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3"/>
      <c r="BZ686" s="3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</row>
    <row r="687" spans="1:104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3"/>
      <c r="BZ687" s="3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</row>
    <row r="688" spans="1:104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3"/>
      <c r="BZ688" s="3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</row>
    <row r="689" spans="1:104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3"/>
      <c r="BZ689" s="3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</row>
    <row r="690" spans="1:104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3"/>
      <c r="BZ690" s="3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</row>
    <row r="691" spans="1:104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3"/>
      <c r="BZ691" s="3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</row>
    <row r="692" spans="1:104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3"/>
      <c r="BZ692" s="3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</row>
    <row r="693" spans="1:104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3"/>
      <c r="BZ693" s="3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</row>
    <row r="694" spans="1:10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3"/>
      <c r="BZ694" s="3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</row>
    <row r="695" spans="1:104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3"/>
      <c r="BZ695" s="3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</row>
    <row r="696" spans="1:104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3"/>
      <c r="BZ696" s="3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</row>
    <row r="697" spans="1:104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3"/>
      <c r="BZ697" s="3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</row>
    <row r="698" spans="1:104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3"/>
      <c r="BZ698" s="3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</row>
    <row r="699" spans="1:104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3"/>
      <c r="BZ699" s="3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</row>
    <row r="700" spans="1:104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3"/>
      <c r="BZ700" s="3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</row>
    <row r="701" spans="1:104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3"/>
      <c r="BZ701" s="3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</row>
    <row r="702" spans="1:104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3"/>
      <c r="BZ702" s="3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</row>
    <row r="703" spans="1:104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3"/>
      <c r="BZ703" s="3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</row>
    <row r="704" spans="1:1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3"/>
      <c r="BZ704" s="3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</row>
    <row r="705" spans="1:104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3"/>
      <c r="BZ705" s="3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</row>
    <row r="706" spans="1:104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3"/>
      <c r="BZ706" s="3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</row>
    <row r="707" spans="1:104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3"/>
      <c r="BZ707" s="3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</row>
    <row r="708" spans="1:104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3"/>
      <c r="BZ708" s="3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</row>
    <row r="709" spans="1:104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3"/>
      <c r="BZ709" s="3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</row>
    <row r="710" spans="1:104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3"/>
      <c r="BZ710" s="3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</row>
    <row r="711" spans="1:104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3"/>
      <c r="BZ711" s="3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</row>
    <row r="712" spans="1:104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3"/>
      <c r="BZ712" s="3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</row>
    <row r="713" spans="1:104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3"/>
      <c r="BZ713" s="3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</row>
    <row r="714" spans="1:10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3"/>
      <c r="BZ714" s="3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</row>
    <row r="715" spans="1:104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3"/>
      <c r="BZ715" s="3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</row>
    <row r="716" spans="1:104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3"/>
      <c r="BZ716" s="3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</row>
    <row r="717" spans="1:104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3"/>
      <c r="BZ717" s="3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</row>
    <row r="718" spans="1:104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3"/>
      <c r="BZ718" s="3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</row>
    <row r="719" spans="1:104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3"/>
      <c r="BZ719" s="3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</row>
    <row r="720" spans="1:104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3"/>
      <c r="BZ720" s="3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</row>
    <row r="721" spans="1:104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3"/>
      <c r="BZ721" s="3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</row>
    <row r="722" spans="1:104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3"/>
      <c r="BZ722" s="3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</row>
    <row r="723" spans="1:104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3"/>
      <c r="BZ723" s="3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</row>
    <row r="724" spans="1:10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3"/>
      <c r="BZ724" s="3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</row>
    <row r="725" spans="1:104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3"/>
      <c r="BZ725" s="3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</row>
    <row r="726" spans="1:104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3"/>
      <c r="BZ726" s="3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</row>
    <row r="727" spans="1:104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3"/>
      <c r="BZ727" s="3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</row>
    <row r="728" spans="1:104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3"/>
      <c r="BZ728" s="3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</row>
    <row r="729" spans="1:104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3"/>
      <c r="BZ729" s="3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</row>
    <row r="730" spans="1:104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3"/>
      <c r="BZ730" s="3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</row>
    <row r="731" spans="1:104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3"/>
      <c r="BZ731" s="3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</row>
    <row r="732" spans="1:104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3"/>
      <c r="BZ732" s="3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</row>
    <row r="733" spans="1:104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3"/>
      <c r="BZ733" s="3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</row>
    <row r="734" spans="1:10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3"/>
      <c r="BZ734" s="3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</row>
    <row r="735" spans="1:104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3"/>
      <c r="BZ735" s="3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</row>
    <row r="736" spans="1:104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3"/>
      <c r="BZ736" s="3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</row>
    <row r="737" spans="1:104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3"/>
      <c r="BZ737" s="3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</row>
    <row r="738" spans="1:104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3"/>
      <c r="BZ738" s="3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</row>
    <row r="739" spans="1:104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3"/>
      <c r="BZ739" s="3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</row>
    <row r="740" spans="1:104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3"/>
      <c r="BZ740" s="3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</row>
    <row r="741" spans="1:104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3"/>
      <c r="BZ741" s="3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</row>
    <row r="742" spans="1:104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3"/>
      <c r="BZ742" s="3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</row>
    <row r="743" spans="1:104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3"/>
      <c r="BZ743" s="3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</row>
    <row r="744" spans="1:10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3"/>
      <c r="BZ744" s="3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</row>
    <row r="745" spans="1:104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3"/>
      <c r="BZ745" s="3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</row>
    <row r="746" spans="1:104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3"/>
      <c r="BZ746" s="3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</row>
    <row r="747" spans="1:104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3"/>
      <c r="BZ747" s="3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</row>
    <row r="748" spans="1:104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3"/>
      <c r="BZ748" s="3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</row>
    <row r="749" spans="1:104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3"/>
      <c r="BZ749" s="3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</row>
    <row r="750" spans="1:104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3"/>
      <c r="BZ750" s="3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</row>
    <row r="751" spans="1:104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3"/>
      <c r="BZ751" s="3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</row>
    <row r="752" spans="1:104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3"/>
      <c r="BZ752" s="3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</row>
    <row r="753" spans="1:104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3"/>
      <c r="BZ753" s="3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</row>
    <row r="754" spans="1:10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3"/>
      <c r="BZ754" s="3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</row>
    <row r="755" spans="1:104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3"/>
      <c r="BZ755" s="3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</row>
    <row r="756" spans="1:104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3"/>
      <c r="BZ756" s="3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</row>
    <row r="757" spans="1:104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3"/>
      <c r="BZ757" s="3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</row>
    <row r="758" spans="1:104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3"/>
      <c r="BZ758" s="3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</row>
    <row r="759" spans="1:104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3"/>
      <c r="BZ759" s="3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</row>
    <row r="760" spans="1:104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3"/>
      <c r="BZ760" s="3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</row>
    <row r="761" spans="1:104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3"/>
      <c r="BZ761" s="3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</row>
    <row r="762" spans="1:104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3"/>
      <c r="BZ762" s="3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</row>
    <row r="763" spans="1:104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3"/>
      <c r="BZ763" s="3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</row>
    <row r="764" spans="1:10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3"/>
      <c r="BZ764" s="3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</row>
    <row r="765" spans="1:104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3"/>
      <c r="BZ765" s="3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</row>
    <row r="766" spans="1:104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3"/>
      <c r="BZ766" s="3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</row>
    <row r="767" spans="1:104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3"/>
      <c r="BZ767" s="3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</row>
    <row r="768" spans="1:104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3"/>
      <c r="BZ768" s="3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</row>
    <row r="769" spans="1:104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3"/>
      <c r="BZ769" s="3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</row>
    <row r="770" spans="1:104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3"/>
      <c r="BZ770" s="3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</row>
    <row r="771" spans="1:104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3"/>
      <c r="BZ771" s="3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</row>
    <row r="772" spans="1:104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3"/>
      <c r="BZ772" s="3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</row>
    <row r="773" spans="1:104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3"/>
      <c r="BZ773" s="3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</row>
    <row r="774" spans="1:10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3"/>
      <c r="BZ774" s="3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</row>
    <row r="775" spans="1:104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3"/>
      <c r="BZ775" s="3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</row>
    <row r="776" spans="1:104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3"/>
      <c r="BZ776" s="3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</row>
    <row r="777" spans="1:104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3"/>
      <c r="BZ777" s="3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</row>
    <row r="778" spans="1:104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3"/>
      <c r="BZ778" s="3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</row>
    <row r="779" spans="1:104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3"/>
      <c r="BZ779" s="3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</row>
    <row r="780" spans="1:104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3"/>
      <c r="BZ780" s="3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</row>
    <row r="781" spans="1:104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3"/>
      <c r="BZ781" s="3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</row>
    <row r="782" spans="1:104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3"/>
      <c r="BZ782" s="3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</row>
    <row r="783" spans="1:104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3"/>
      <c r="BZ783" s="3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</row>
    <row r="784" spans="1:10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3"/>
      <c r="BZ784" s="3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</row>
    <row r="785" spans="1:104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3"/>
      <c r="BZ785" s="3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</row>
    <row r="786" spans="1:104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3"/>
      <c r="BZ786" s="3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</row>
    <row r="787" spans="1:104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3"/>
      <c r="BZ787" s="3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</row>
    <row r="788" spans="1:104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3"/>
      <c r="BZ788" s="3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</row>
    <row r="789" spans="1:104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3"/>
      <c r="BZ789" s="3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</row>
    <row r="790" spans="1:104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3"/>
      <c r="BZ790" s="3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</row>
    <row r="791" spans="1:104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3"/>
      <c r="BZ791" s="3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</row>
    <row r="792" spans="1:104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3"/>
      <c r="BZ792" s="3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</row>
    <row r="793" spans="1:104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3"/>
      <c r="BZ793" s="3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</row>
    <row r="794" spans="1:10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3"/>
      <c r="BZ794" s="3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</row>
    <row r="795" spans="1:104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3"/>
      <c r="BZ795" s="3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</row>
    <row r="796" spans="1:104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3"/>
      <c r="BZ796" s="3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</row>
    <row r="797" spans="1:104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3"/>
      <c r="BZ797" s="3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</row>
    <row r="798" spans="1:104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3"/>
      <c r="BZ798" s="3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</row>
    <row r="799" spans="1:104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3"/>
      <c r="BZ799" s="3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</row>
    <row r="800" spans="1:104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3"/>
      <c r="BZ800" s="3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</row>
    <row r="801" spans="1:104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3"/>
      <c r="BZ801" s="3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</row>
    <row r="802" spans="1:104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3"/>
      <c r="BZ802" s="3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</row>
    <row r="803" spans="1:104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3"/>
      <c r="BZ803" s="3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</row>
    <row r="804" spans="1:1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3"/>
      <c r="BZ804" s="3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</row>
    <row r="805" spans="1:104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3"/>
      <c r="BZ805" s="3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</row>
    <row r="806" spans="1:104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3"/>
      <c r="BZ806" s="3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</row>
    <row r="807" spans="1:104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3"/>
      <c r="BZ807" s="3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</row>
    <row r="808" spans="1:104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3"/>
      <c r="BZ808" s="3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</row>
    <row r="809" spans="1:104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3"/>
      <c r="BZ809" s="3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</row>
    <row r="810" spans="1:104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3"/>
      <c r="BZ810" s="3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</row>
    <row r="811" spans="1:104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3"/>
      <c r="BZ811" s="3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</row>
    <row r="812" spans="1:104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3"/>
      <c r="BZ812" s="3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</row>
    <row r="813" spans="1:104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3"/>
      <c r="BZ813" s="3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</row>
    <row r="814" spans="1:10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3"/>
      <c r="BZ814" s="3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</row>
    <row r="815" spans="1:104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3"/>
      <c r="BZ815" s="3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</row>
    <row r="816" spans="1:104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3"/>
      <c r="BZ816" s="3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</row>
    <row r="817" spans="1:104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3"/>
      <c r="BZ817" s="3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</row>
    <row r="818" spans="1:104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3"/>
      <c r="BZ818" s="3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</row>
    <row r="819" spans="1:104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3"/>
      <c r="BZ819" s="3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</row>
    <row r="820" spans="1:104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3"/>
      <c r="BZ820" s="3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</row>
    <row r="821" spans="1:104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3"/>
      <c r="BZ821" s="3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</row>
    <row r="822" spans="1:104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3"/>
      <c r="BZ822" s="3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</row>
    <row r="823" spans="1:104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3"/>
      <c r="BZ823" s="3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</row>
    <row r="824" spans="1:10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3"/>
      <c r="BZ824" s="3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</row>
    <row r="825" spans="1:104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3"/>
      <c r="BZ825" s="3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</row>
    <row r="826" spans="1:104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3"/>
      <c r="BZ826" s="3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</row>
    <row r="827" spans="1:104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3"/>
      <c r="BZ827" s="3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</row>
    <row r="828" spans="1:104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3"/>
      <c r="BZ828" s="3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</row>
    <row r="829" spans="1:104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3"/>
      <c r="BZ829" s="3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</row>
    <row r="830" spans="1:104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3"/>
      <c r="BZ830" s="3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</row>
    <row r="831" spans="1:104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3"/>
      <c r="BZ831" s="3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</row>
    <row r="832" spans="1:104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3"/>
      <c r="BZ832" s="3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</row>
    <row r="833" spans="1:104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3"/>
      <c r="BZ833" s="3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</row>
    <row r="834" spans="1:10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3"/>
      <c r="BZ834" s="3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</row>
    <row r="835" spans="1:104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3"/>
      <c r="BZ835" s="3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</row>
    <row r="836" spans="1:104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3"/>
      <c r="BZ836" s="3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</row>
    <row r="837" spans="1:104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3"/>
      <c r="BZ837" s="3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</row>
    <row r="838" spans="1:104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3"/>
      <c r="BZ838" s="3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</row>
    <row r="839" spans="1:104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3"/>
      <c r="BZ839" s="3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</row>
    <row r="840" spans="1:104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3"/>
      <c r="BZ840" s="3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</row>
    <row r="841" spans="1:104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3"/>
      <c r="BZ841" s="3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</row>
    <row r="842" spans="1:104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3"/>
      <c r="BZ842" s="3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</row>
    <row r="843" spans="1:104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3"/>
      <c r="BZ843" s="3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</row>
    <row r="844" spans="1:10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3"/>
      <c r="BZ844" s="3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</row>
    <row r="845" spans="1:104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3"/>
      <c r="BZ845" s="3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</row>
    <row r="846" spans="1:104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3"/>
      <c r="BZ846" s="3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</row>
    <row r="847" spans="1:104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3"/>
      <c r="BZ847" s="3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</row>
    <row r="848" spans="1:104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3"/>
      <c r="BZ848" s="3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</row>
    <row r="849" spans="1:104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3"/>
      <c r="BZ849" s="3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</row>
    <row r="850" spans="1:104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3"/>
      <c r="BZ850" s="3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</row>
    <row r="851" spans="1:104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3"/>
      <c r="BZ851" s="3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</row>
    <row r="852" spans="1:104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3"/>
      <c r="BZ852" s="3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</row>
    <row r="853" spans="1:104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3"/>
      <c r="BZ853" s="3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</row>
    <row r="854" spans="1:10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3"/>
      <c r="BZ854" s="3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</row>
    <row r="855" spans="1:104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3"/>
      <c r="BZ855" s="3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</row>
    <row r="856" spans="1:104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3"/>
      <c r="BZ856" s="3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</row>
    <row r="857" spans="1:104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3"/>
      <c r="BZ857" s="3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</row>
    <row r="858" spans="1:104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3"/>
      <c r="BZ858" s="3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</row>
    <row r="859" spans="1:104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3"/>
      <c r="BZ859" s="3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</row>
    <row r="860" spans="1:104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3"/>
      <c r="BZ860" s="3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</row>
    <row r="861" spans="1:104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3"/>
      <c r="BZ861" s="3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</row>
    <row r="862" spans="1:104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3"/>
      <c r="BZ862" s="3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</row>
    <row r="863" spans="1:104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3"/>
      <c r="BZ863" s="3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</row>
    <row r="864" spans="1:10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3"/>
      <c r="BZ864" s="3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</row>
    <row r="865" spans="1:104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3"/>
      <c r="BZ865" s="3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</row>
    <row r="866" spans="1:104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3"/>
      <c r="BZ866" s="3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</row>
    <row r="867" spans="1:104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3"/>
      <c r="BZ867" s="3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</row>
    <row r="868" spans="1:104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3"/>
      <c r="BZ868" s="3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</row>
    <row r="869" spans="1:104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3"/>
      <c r="BZ869" s="3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</row>
    <row r="870" spans="1:104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3"/>
      <c r="BZ870" s="3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</row>
    <row r="871" spans="1:104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3"/>
      <c r="BZ871" s="3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</row>
    <row r="872" spans="1:104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3"/>
      <c r="BZ872" s="3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</row>
    <row r="873" spans="1:104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3"/>
      <c r="BZ873" s="3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</row>
    <row r="874" spans="1:10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3"/>
      <c r="BZ874" s="3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</row>
    <row r="875" spans="1:104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3"/>
      <c r="BZ875" s="3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</row>
    <row r="876" spans="1:104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3"/>
      <c r="BZ876" s="3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</row>
    <row r="877" spans="1:104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3"/>
      <c r="BZ877" s="3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</row>
    <row r="878" spans="1:104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3"/>
      <c r="BZ878" s="3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</row>
    <row r="879" spans="1:104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3"/>
      <c r="BZ879" s="3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</row>
    <row r="880" spans="1:104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3"/>
      <c r="BZ880" s="3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</row>
    <row r="881" spans="1:104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3"/>
      <c r="BZ881" s="3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</row>
    <row r="882" spans="1:104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3"/>
      <c r="BZ882" s="3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</row>
    <row r="883" spans="1:104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3"/>
      <c r="BZ883" s="3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</row>
    <row r="884" spans="1:10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3"/>
      <c r="BZ884" s="3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</row>
    <row r="885" spans="1:104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3"/>
      <c r="BZ885" s="3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</row>
    <row r="886" spans="1:104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3"/>
      <c r="BZ886" s="3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</row>
    <row r="887" spans="1:104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3"/>
      <c r="BZ887" s="3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</row>
    <row r="888" spans="1:104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3"/>
      <c r="BZ888" s="3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</row>
    <row r="889" spans="1:104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3"/>
      <c r="BZ889" s="3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</row>
    <row r="890" spans="1:104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3"/>
      <c r="BZ890" s="3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</row>
    <row r="891" spans="1:104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3"/>
      <c r="BZ891" s="3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</row>
    <row r="892" spans="1:104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3"/>
      <c r="BZ892" s="3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</row>
    <row r="893" spans="1:104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3"/>
      <c r="BZ893" s="3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</row>
    <row r="894" spans="1:10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3"/>
      <c r="BZ894" s="3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</row>
    <row r="895" spans="1:104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3"/>
      <c r="BZ895" s="3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</row>
    <row r="896" spans="1:104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3"/>
      <c r="BZ896" s="3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</row>
    <row r="897" spans="1:104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3"/>
      <c r="BZ897" s="3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</row>
    <row r="898" spans="1:104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3"/>
      <c r="BZ898" s="3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</row>
    <row r="899" spans="1:104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3"/>
      <c r="BZ899" s="3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</row>
    <row r="900" spans="1:104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3"/>
      <c r="BZ900" s="3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</row>
    <row r="901" spans="1:104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3"/>
      <c r="BZ901" s="3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</row>
    <row r="902" spans="1:104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3"/>
      <c r="BZ902" s="3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</row>
    <row r="903" spans="1:104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3"/>
      <c r="BZ903" s="3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</row>
    <row r="904" spans="1:1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3"/>
      <c r="BZ904" s="3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</row>
    <row r="905" spans="1:104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3"/>
      <c r="BZ905" s="3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</row>
    <row r="906" spans="1:104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3"/>
      <c r="BZ906" s="3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</row>
    <row r="907" spans="1:104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3"/>
      <c r="BZ907" s="3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</row>
    <row r="908" spans="1:104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3"/>
      <c r="BZ908" s="3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</row>
    <row r="909" spans="1:104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3"/>
      <c r="BZ909" s="3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</row>
    <row r="910" spans="1:104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3"/>
      <c r="BZ910" s="3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</row>
    <row r="911" spans="1:104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3"/>
      <c r="BZ911" s="3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</row>
    <row r="912" spans="1:104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3"/>
      <c r="BZ912" s="3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</row>
    <row r="913" spans="1:104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3"/>
      <c r="BZ913" s="3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</row>
    <row r="914" spans="1:10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3"/>
      <c r="BZ914" s="3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</row>
    <row r="915" spans="1:104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3"/>
      <c r="BZ915" s="3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</row>
    <row r="916" spans="1:104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3"/>
      <c r="BZ916" s="3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</row>
    <row r="917" spans="1:104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3"/>
      <c r="BZ917" s="3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</row>
    <row r="918" spans="1:104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3"/>
      <c r="BZ918" s="3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</row>
    <row r="919" spans="1:104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3"/>
      <c r="BZ919" s="3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</row>
    <row r="920" spans="1:104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3"/>
      <c r="BZ920" s="3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</row>
    <row r="921" spans="1:104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3"/>
      <c r="BZ921" s="3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</row>
    <row r="922" spans="1:104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3"/>
      <c r="BZ922" s="3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</row>
    <row r="923" spans="1:104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3"/>
      <c r="BZ923" s="3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</row>
    <row r="924" spans="1:10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3"/>
      <c r="BZ924" s="3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</row>
    <row r="925" spans="1:104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3"/>
      <c r="BZ925" s="3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</row>
    <row r="926" spans="1:104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3"/>
      <c r="BZ926" s="3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</row>
    <row r="927" spans="1:104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3"/>
      <c r="BZ927" s="3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</row>
    <row r="928" spans="1:104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3"/>
      <c r="BZ928" s="3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</row>
    <row r="929" spans="1:104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3"/>
      <c r="BZ929" s="3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</row>
    <row r="930" spans="1:104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3"/>
      <c r="BZ930" s="3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</row>
    <row r="931" spans="1:104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3"/>
      <c r="BZ931" s="3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</row>
    <row r="932" spans="1:104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3"/>
      <c r="BZ932" s="3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</row>
    <row r="933" spans="1:104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3"/>
      <c r="BZ933" s="3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</row>
    <row r="934" spans="1:10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3"/>
      <c r="BZ934" s="3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</row>
    <row r="935" spans="1:104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3"/>
      <c r="BZ935" s="3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</row>
    <row r="936" spans="1:104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3"/>
      <c r="BZ936" s="3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</row>
    <row r="937" spans="1:104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3"/>
      <c r="BZ937" s="3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</row>
    <row r="938" spans="1:104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3"/>
      <c r="BZ938" s="3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</row>
    <row r="939" spans="1:104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3"/>
      <c r="BZ939" s="3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</row>
    <row r="940" spans="1:104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3"/>
      <c r="BZ940" s="3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</row>
    <row r="941" spans="1:104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3"/>
      <c r="BZ941" s="3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</row>
    <row r="942" spans="1:104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3"/>
      <c r="BZ942" s="3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</row>
    <row r="943" spans="1:104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3"/>
      <c r="BZ943" s="3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</row>
    <row r="944" spans="1:10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3"/>
      <c r="BZ944" s="3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</row>
    <row r="945" spans="1:104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3"/>
      <c r="BZ945" s="3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</row>
    <row r="946" spans="1:104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3"/>
      <c r="BZ946" s="3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</row>
    <row r="947" spans="1:104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3"/>
      <c r="BZ947" s="3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</row>
    <row r="948" spans="1:104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3"/>
      <c r="BZ948" s="3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</row>
    <row r="949" spans="1:104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3"/>
      <c r="BZ949" s="3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</row>
    <row r="950" spans="1:104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3"/>
      <c r="BZ950" s="3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</row>
    <row r="951" spans="1:104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3"/>
      <c r="BZ951" s="3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</row>
    <row r="952" spans="1:104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3"/>
      <c r="BZ952" s="3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</row>
    <row r="953" spans="1:104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3"/>
      <c r="BZ953" s="3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</row>
    <row r="954" spans="1:10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3"/>
      <c r="BZ954" s="3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</row>
    <row r="955" spans="1:104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3"/>
      <c r="BZ955" s="3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</row>
    <row r="956" spans="1:104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3"/>
      <c r="BZ956" s="3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</row>
    <row r="957" spans="1:104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3"/>
      <c r="BZ957" s="3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</row>
    <row r="958" spans="1:104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3"/>
      <c r="BZ958" s="3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</row>
    <row r="959" spans="1:104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3"/>
      <c r="BZ959" s="3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</row>
    <row r="960" spans="1:104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3"/>
      <c r="BZ960" s="3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</row>
    <row r="961" spans="1:104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3"/>
      <c r="BZ961" s="3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</row>
    <row r="962" spans="1:104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3"/>
      <c r="BZ962" s="3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</row>
    <row r="963" spans="1:104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3"/>
      <c r="BZ963" s="3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</row>
    <row r="964" spans="1:10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3"/>
      <c r="BZ964" s="3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</row>
    <row r="965" spans="1:104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3"/>
      <c r="BZ965" s="3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</row>
    <row r="966" spans="1:104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3"/>
      <c r="BZ966" s="3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</row>
    <row r="967" spans="1:104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3"/>
      <c r="BZ967" s="3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</row>
    <row r="968" spans="1:104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3"/>
      <c r="BZ968" s="3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</row>
    <row r="969" spans="1:104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3"/>
      <c r="BZ969" s="3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</row>
    <row r="970" spans="1:104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3"/>
      <c r="BZ970" s="3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</row>
    <row r="971" spans="1:104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3"/>
      <c r="BZ971" s="3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</row>
    <row r="972" spans="1:104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3"/>
      <c r="BZ972" s="3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</row>
    <row r="973" spans="1:104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3"/>
      <c r="BZ973" s="3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</row>
    <row r="974" spans="1:10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3"/>
      <c r="BZ974" s="3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</row>
    <row r="975" spans="1:104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3"/>
      <c r="BZ975" s="3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</row>
    <row r="976" spans="1:104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3"/>
      <c r="BZ976" s="3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</row>
    <row r="977" spans="1:104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3"/>
      <c r="BZ977" s="3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</row>
    <row r="978" spans="1:104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3"/>
      <c r="BZ978" s="3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</row>
    <row r="979" spans="1:104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3"/>
      <c r="BZ979" s="3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</row>
    <row r="980" spans="1:104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3"/>
      <c r="BZ980" s="3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</row>
    <row r="981" spans="1:104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3"/>
      <c r="BZ981" s="3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</row>
    <row r="982" spans="1:104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3"/>
      <c r="BZ982" s="3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</row>
    <row r="983" spans="1:104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3"/>
      <c r="BZ983" s="3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</row>
    <row r="984" spans="1:10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3"/>
      <c r="BZ984" s="3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</row>
    <row r="985" spans="1:104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3"/>
      <c r="BZ985" s="3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</row>
    <row r="986" spans="1:104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3"/>
      <c r="BZ986" s="3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</row>
    <row r="987" spans="1:104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3"/>
      <c r="BZ987" s="3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</row>
    <row r="988" spans="1:104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3"/>
      <c r="BZ988" s="3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</row>
    <row r="989" spans="1:104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3"/>
      <c r="BZ989" s="3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</row>
    <row r="990" spans="1:104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3"/>
      <c r="BZ990" s="3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</row>
    <row r="991" spans="1:104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3"/>
      <c r="BZ991" s="3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</row>
    <row r="992" spans="1:104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3"/>
      <c r="BZ992" s="3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</row>
    <row r="993" spans="1:104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3"/>
      <c r="BZ993" s="3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</row>
    <row r="994" spans="1:10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3"/>
      <c r="BZ994" s="3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</row>
    <row r="995" spans="1:104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3"/>
      <c r="BZ995" s="3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</row>
    <row r="996" spans="1:104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3"/>
      <c r="BZ996" s="3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</row>
    <row r="997" spans="1:104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3"/>
      <c r="BZ997" s="3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</row>
    <row r="998" spans="1:104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3"/>
      <c r="BZ998" s="3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</row>
    <row r="999" spans="1:104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3"/>
      <c r="BZ999" s="3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</row>
    <row r="1000" spans="1:104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3"/>
      <c r="BZ1000" s="3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</row>
  </sheetData>
  <mergeCells count="25">
    <mergeCell ref="F86:G86"/>
    <mergeCell ref="D57:E58"/>
    <mergeCell ref="F57:I57"/>
    <mergeCell ref="F58:G58"/>
    <mergeCell ref="H58:I58"/>
    <mergeCell ref="A74:G74"/>
    <mergeCell ref="A75:A76"/>
    <mergeCell ref="B75:G75"/>
    <mergeCell ref="A52:A53"/>
    <mergeCell ref="A54:A55"/>
    <mergeCell ref="A57:A59"/>
    <mergeCell ref="B57:C58"/>
    <mergeCell ref="A86:A87"/>
    <mergeCell ref="B86:B87"/>
    <mergeCell ref="C86:E86"/>
    <mergeCell ref="A12:B12"/>
    <mergeCell ref="A16:A17"/>
    <mergeCell ref="A18:B18"/>
    <mergeCell ref="A49:E49"/>
    <mergeCell ref="A51:B51"/>
    <mergeCell ref="A6:J6"/>
    <mergeCell ref="A10:B11"/>
    <mergeCell ref="C10:C11"/>
    <mergeCell ref="D10:F10"/>
    <mergeCell ref="G10:L10"/>
  </mergeCells>
  <dataValidations count="3">
    <dataValidation type="decimal" allowBlank="1" showErrorMessage="1" sqref="B36 C37:E39 C40:D41 B42:E47 A48:E48 C85:D85 C86" xr:uid="{00000000-0002-0000-0000-000000000000}">
      <formula1>0</formula1>
      <formula2>1E+27</formula2>
    </dataValidation>
    <dataValidation type="decimal" allowBlank="1" showErrorMessage="1" sqref="D60:I73 C88:G89" xr:uid="{00000000-0002-0000-0000-000001000000}">
      <formula1>0</formula1>
      <formula2>10000000</formula2>
    </dataValidation>
    <dataValidation type="decimal" allowBlank="1" showErrorMessage="1" sqref="C77:G83" xr:uid="{00000000-0002-0000-0000-000002000000}">
      <formula1>0</formula1>
      <formula2>1000000</formula2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/>
  </sheetViews>
  <sheetFormatPr baseColWidth="10" defaultColWidth="14.42578125" defaultRowHeight="15" customHeight="1"/>
  <cols>
    <col min="1" max="1" width="10.7109375" customWidth="1"/>
    <col min="2" max="2" width="29.5703125" customWidth="1"/>
    <col min="3" max="41" width="10.7109375" customWidth="1"/>
  </cols>
  <sheetData>
    <row r="1" spans="1:25" ht="14.25" customHeight="1">
      <c r="A1" s="167"/>
      <c r="B1" s="168"/>
      <c r="C1" s="226" t="s">
        <v>5</v>
      </c>
      <c r="D1" s="227" t="s">
        <v>125</v>
      </c>
      <c r="E1" s="228"/>
      <c r="F1" s="228"/>
      <c r="G1" s="229"/>
      <c r="H1" s="230" t="s">
        <v>126</v>
      </c>
      <c r="I1" s="231"/>
      <c r="J1" s="232"/>
      <c r="K1" s="236" t="s">
        <v>127</v>
      </c>
      <c r="L1" s="231"/>
      <c r="M1" s="232"/>
      <c r="N1" s="237" t="s">
        <v>128</v>
      </c>
      <c r="O1" s="238" t="s">
        <v>129</v>
      </c>
      <c r="P1" s="232"/>
      <c r="Q1" s="237" t="s">
        <v>130</v>
      </c>
      <c r="R1" s="215" t="s">
        <v>131</v>
      </c>
      <c r="S1" s="217" t="s">
        <v>132</v>
      </c>
      <c r="T1" s="169" t="s">
        <v>133</v>
      </c>
      <c r="U1" s="169"/>
      <c r="V1" s="169"/>
      <c r="W1" s="169"/>
      <c r="X1" s="169"/>
      <c r="Y1" s="93"/>
    </row>
    <row r="2" spans="1:25" ht="14.25" customHeight="1">
      <c r="A2" s="218" t="s">
        <v>134</v>
      </c>
      <c r="B2" s="220" t="s">
        <v>135</v>
      </c>
      <c r="C2" s="216"/>
      <c r="D2" s="222" t="s">
        <v>136</v>
      </c>
      <c r="E2" s="224" t="s">
        <v>137</v>
      </c>
      <c r="F2" s="225"/>
      <c r="G2" s="226" t="s">
        <v>138</v>
      </c>
      <c r="H2" s="233"/>
      <c r="I2" s="234"/>
      <c r="J2" s="235"/>
      <c r="K2" s="233"/>
      <c r="L2" s="234"/>
      <c r="M2" s="235"/>
      <c r="N2" s="216"/>
      <c r="O2" s="233"/>
      <c r="P2" s="235"/>
      <c r="Q2" s="216"/>
      <c r="R2" s="216"/>
      <c r="S2" s="216"/>
      <c r="T2" s="169"/>
      <c r="U2" s="169"/>
      <c r="V2" s="169"/>
      <c r="W2" s="169"/>
      <c r="X2" s="169"/>
      <c r="Y2" s="93"/>
    </row>
    <row r="3" spans="1:25" ht="14.25" customHeight="1">
      <c r="A3" s="219"/>
      <c r="B3" s="221"/>
      <c r="C3" s="223"/>
      <c r="D3" s="223"/>
      <c r="E3" s="170" t="s">
        <v>139</v>
      </c>
      <c r="F3" s="170" t="s">
        <v>140</v>
      </c>
      <c r="G3" s="223"/>
      <c r="H3" s="171" t="s">
        <v>141</v>
      </c>
      <c r="I3" s="171" t="s">
        <v>142</v>
      </c>
      <c r="J3" s="171" t="s">
        <v>143</v>
      </c>
      <c r="K3" s="172" t="s">
        <v>144</v>
      </c>
      <c r="L3" s="172" t="s">
        <v>145</v>
      </c>
      <c r="M3" s="172" t="s">
        <v>146</v>
      </c>
      <c r="N3" s="223"/>
      <c r="O3" s="173" t="s">
        <v>147</v>
      </c>
      <c r="P3" s="173" t="s">
        <v>148</v>
      </c>
      <c r="Q3" s="223"/>
      <c r="R3" s="216"/>
      <c r="S3" s="216"/>
      <c r="T3" s="174"/>
      <c r="U3" s="174"/>
      <c r="V3" s="174"/>
      <c r="W3" s="174"/>
      <c r="X3" s="174"/>
      <c r="Y3" s="175"/>
    </row>
    <row r="4" spans="1:25" ht="14.25" customHeight="1">
      <c r="A4" s="176" t="s">
        <v>149</v>
      </c>
      <c r="B4" s="177" t="s">
        <v>150</v>
      </c>
      <c r="C4" s="178">
        <v>0</v>
      </c>
      <c r="D4" s="178">
        <v>0</v>
      </c>
      <c r="E4" s="179"/>
      <c r="F4" s="179"/>
      <c r="G4" s="179"/>
      <c r="H4" s="180"/>
      <c r="I4" s="180"/>
      <c r="J4" s="180"/>
      <c r="K4" s="180"/>
      <c r="L4" s="180"/>
      <c r="M4" s="180"/>
      <c r="N4" s="180"/>
      <c r="O4" s="180"/>
      <c r="P4" s="180"/>
      <c r="Q4" s="179"/>
      <c r="R4" s="181">
        <v>39400</v>
      </c>
      <c r="S4" s="182">
        <v>0</v>
      </c>
      <c r="T4" s="183"/>
      <c r="U4" s="183" t="s">
        <v>133</v>
      </c>
      <c r="V4" s="183"/>
      <c r="W4" s="183"/>
      <c r="X4" s="183"/>
      <c r="Y4" s="184"/>
    </row>
    <row r="5" spans="1:25" ht="14.25" customHeight="1">
      <c r="A5" s="176" t="s">
        <v>151</v>
      </c>
      <c r="B5" s="177" t="s">
        <v>152</v>
      </c>
      <c r="C5" s="178">
        <v>0</v>
      </c>
      <c r="D5" s="178">
        <v>0</v>
      </c>
      <c r="E5" s="179"/>
      <c r="F5" s="179"/>
      <c r="G5" s="179"/>
      <c r="H5" s="180"/>
      <c r="I5" s="180"/>
      <c r="J5" s="180"/>
      <c r="K5" s="180"/>
      <c r="L5" s="180"/>
      <c r="M5" s="180"/>
      <c r="N5" s="180"/>
      <c r="O5" s="180"/>
      <c r="P5" s="180"/>
      <c r="Q5" s="179"/>
      <c r="R5" s="181">
        <v>60290</v>
      </c>
      <c r="S5" s="182">
        <v>0</v>
      </c>
      <c r="T5" s="183"/>
      <c r="U5" s="183" t="s">
        <v>133</v>
      </c>
      <c r="V5" s="183"/>
      <c r="W5" s="183"/>
      <c r="X5" s="183"/>
      <c r="Y5" s="184"/>
    </row>
    <row r="6" spans="1:25" ht="14.25" customHeight="1">
      <c r="A6" s="176" t="s">
        <v>153</v>
      </c>
      <c r="B6" s="177" t="s">
        <v>154</v>
      </c>
      <c r="C6" s="178">
        <v>0</v>
      </c>
      <c r="D6" s="178">
        <v>0</v>
      </c>
      <c r="E6" s="179"/>
      <c r="F6" s="179"/>
      <c r="G6" s="179"/>
      <c r="H6" s="180"/>
      <c r="I6" s="180"/>
      <c r="J6" s="180"/>
      <c r="K6" s="180"/>
      <c r="L6" s="180"/>
      <c r="M6" s="180"/>
      <c r="N6" s="180"/>
      <c r="O6" s="180"/>
      <c r="P6" s="180"/>
      <c r="Q6" s="179"/>
      <c r="R6" s="181">
        <v>100420</v>
      </c>
      <c r="S6" s="182">
        <v>0</v>
      </c>
      <c r="T6" s="183" t="s">
        <v>133</v>
      </c>
      <c r="U6" s="183" t="s">
        <v>133</v>
      </c>
      <c r="V6" s="183"/>
      <c r="W6" s="183"/>
      <c r="X6" s="183"/>
      <c r="Y6" s="184"/>
    </row>
    <row r="7" spans="1:25" ht="14.25" customHeight="1"/>
    <row r="8" spans="1:25" ht="14.25" customHeight="1"/>
    <row r="9" spans="1:25" ht="14.25" customHeight="1"/>
    <row r="10" spans="1:25" ht="14.25" customHeight="1"/>
    <row r="11" spans="1:25" ht="14.25" customHeight="1"/>
    <row r="12" spans="1:25" ht="14.25" customHeight="1"/>
    <row r="13" spans="1:25" ht="14.25" customHeight="1"/>
    <row r="14" spans="1:25" ht="14.25" customHeight="1"/>
    <row r="15" spans="1:25" ht="14.25" customHeight="1"/>
    <row r="16" spans="1:2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R1:R3"/>
    <mergeCell ref="S1:S3"/>
    <mergeCell ref="A2:A3"/>
    <mergeCell ref="B2:B3"/>
    <mergeCell ref="D2:D3"/>
    <mergeCell ref="E2:F2"/>
    <mergeCell ref="C1:C3"/>
    <mergeCell ref="D1:G1"/>
    <mergeCell ref="H1:J2"/>
    <mergeCell ref="K1:M2"/>
    <mergeCell ref="N1:N3"/>
    <mergeCell ref="O1:P2"/>
    <mergeCell ref="Q1:Q3"/>
    <mergeCell ref="G2:G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Rem A21</vt:lpstr>
      <vt:lpstr>Rem 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Riquelme R. (HSC)</dc:creator>
  <cp:lastModifiedBy>Anastasia Davison A. (HSC)</cp:lastModifiedBy>
  <dcterms:created xsi:type="dcterms:W3CDTF">2023-06-23T13:15:03Z</dcterms:created>
  <dcterms:modified xsi:type="dcterms:W3CDTF">2023-07-03T20:20:53Z</dcterms:modified>
</cp:coreProperties>
</file>