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  <Override PartName="/xl/commentsmeta14" ContentType="application/binary"/>
  <Override PartName="/xl/commentsmeta15" ContentType="application/binary"/>
  <Override PartName="/xl/commentsmeta16" ContentType="application/binary"/>
  <Override PartName="/xl/commentsmeta17" ContentType="application/binary"/>
  <Override PartName="/xl/commentsmeta18" ContentType="application/binary"/>
  <Override PartName="/xl/commentsmeta19" ContentType="application/binary"/>
  <Override PartName="/xl/commentsmeta20" ContentType="application/binary"/>
  <Override PartName="/xl/commentsmeta21" ContentType="application/binary"/>
  <Override PartName="/xl/commentsmeta22" ContentType="application/binary"/>
  <Override PartName="/xl/commentsmeta23" ContentType="application/binary"/>
  <Override PartName="/xl/commentsmeta24" ContentType="application/binary"/>
  <Override PartName="/xl/commentsmeta25" ContentType="application/binary"/>
  <Override PartName="/xl/commentsmeta26" ContentType="application/binary"/>
  <Override PartName="/xl/commentsmeta27" ContentType="application/binary"/>
  <Override PartName="/xl/commentsmeta28" ContentType="application/binary"/>
  <Override PartName="/xl/commentsmeta29" ContentType="application/binary"/>
  <Override PartName="/xl/commentsmeta30" ContentType="application/binary"/>
  <Override PartName="/xl/commentsmeta3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19071370-9\Downloads\"/>
    </mc:Choice>
  </mc:AlternateContent>
  <xr:revisionPtr revIDLastSave="0" documentId="13_ncr:1_{233D0661-0C60-47EA-AFF2-701815791977}" xr6:coauthVersionLast="47" xr6:coauthVersionMax="47" xr10:uidLastSave="{00000000-0000-0000-0000-000000000000}"/>
  <bookViews>
    <workbookView xWindow="11805" yWindow="75" windowWidth="12165" windowHeight="12540" tabRatio="931" firstSheet="10" activeTab="19" xr2:uid="{00000000-000D-0000-FFFF-FFFF00000000}"/>
  </bookViews>
  <sheets>
    <sheet name="DATOS PCTES" sheetId="1" r:id="rId1"/>
    <sheet name="01-08" sheetId="2" r:id="rId2"/>
    <sheet name="02-08" sheetId="3" r:id="rId3"/>
    <sheet name="03-08" sheetId="4" r:id="rId4"/>
    <sheet name="04-08" sheetId="5" r:id="rId5"/>
    <sheet name="05-08" sheetId="6" r:id="rId6"/>
    <sheet name="06-08" sheetId="7" r:id="rId7"/>
    <sheet name="07-08" sheetId="8" r:id="rId8"/>
    <sheet name="08-08" sheetId="9" r:id="rId9"/>
    <sheet name="09-08" sheetId="10" r:id="rId10"/>
    <sheet name="10-08" sheetId="11" r:id="rId11"/>
    <sheet name="11-08" sheetId="12" r:id="rId12"/>
    <sheet name="12-08" sheetId="13" r:id="rId13"/>
    <sheet name="13-08" sheetId="14" r:id="rId14"/>
    <sheet name="14-08" sheetId="15" r:id="rId15"/>
    <sheet name="15-08" sheetId="16" r:id="rId16"/>
    <sheet name="16-08" sheetId="17" r:id="rId17"/>
    <sheet name="17-08" sheetId="18" r:id="rId18"/>
    <sheet name="18-08" sheetId="19" r:id="rId19"/>
    <sheet name="19-08" sheetId="20" r:id="rId20"/>
    <sheet name="20-08" sheetId="21" r:id="rId21"/>
    <sheet name="21-08" sheetId="22" r:id="rId22"/>
    <sheet name="22-08" sheetId="23" r:id="rId23"/>
    <sheet name="23-08" sheetId="24" r:id="rId24"/>
    <sheet name="24-08" sheetId="25" r:id="rId25"/>
    <sheet name="25-08" sheetId="26" r:id="rId26"/>
    <sheet name="26-08" sheetId="27" r:id="rId27"/>
    <sheet name="27-08" sheetId="28" r:id="rId28"/>
    <sheet name="28-08" sheetId="29" r:id="rId29"/>
    <sheet name="29-08" sheetId="30" r:id="rId30"/>
    <sheet name="30-08" sheetId="31" r:id="rId31"/>
    <sheet name="31-08" sheetId="32" r:id="rId32"/>
  </sheets>
  <calcPr calcId="191029"/>
  <extLst>
    <ext uri="GoogleSheetsCustomDataVersion2">
      <go:sheetsCustomData xmlns:go="http://customooxmlschemas.google.com/" r:id="rId36" roundtripDataChecksum="paX61Jwk2LBhsS1VyZXRNI9VNHnjfVhatsUwJxnr9xw="/>
    </ext>
  </extLst>
</workbook>
</file>

<file path=xl/calcChain.xml><?xml version="1.0" encoding="utf-8"?>
<calcChain xmlns="http://schemas.openxmlformats.org/spreadsheetml/2006/main">
  <c r="H20" i="22" l="1"/>
  <c r="H16" i="22"/>
  <c r="H13" i="22"/>
  <c r="H3" i="22"/>
  <c r="H4" i="22"/>
  <c r="H5" i="22"/>
  <c r="H6" i="22"/>
  <c r="H7" i="22"/>
  <c r="H8" i="22"/>
  <c r="H9" i="22"/>
  <c r="H10" i="22"/>
  <c r="H11" i="22"/>
  <c r="H12" i="22"/>
  <c r="H14" i="22"/>
  <c r="H15" i="22"/>
  <c r="H17" i="22"/>
  <c r="H18" i="22"/>
  <c r="H19" i="22"/>
  <c r="H21" i="22"/>
  <c r="H2" i="22"/>
  <c r="H8" i="21"/>
  <c r="H4" i="21"/>
  <c r="H3" i="21"/>
  <c r="H5" i="21"/>
  <c r="H6" i="21"/>
  <c r="H7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" i="21"/>
  <c r="H16" i="20"/>
  <c r="H11" i="20"/>
  <c r="H10" i="20"/>
  <c r="H3" i="20"/>
  <c r="H4" i="20"/>
  <c r="H5" i="20"/>
  <c r="H6" i="20"/>
  <c r="H7" i="20"/>
  <c r="H8" i="20"/>
  <c r="H9" i="20"/>
  <c r="H12" i="20"/>
  <c r="H13" i="20"/>
  <c r="H14" i="20"/>
  <c r="H15" i="20"/>
  <c r="H17" i="20"/>
  <c r="H18" i="20"/>
  <c r="H19" i="20"/>
  <c r="H20" i="20"/>
  <c r="H21" i="20"/>
  <c r="H22" i="20"/>
  <c r="H23" i="20"/>
  <c r="H2" i="20"/>
  <c r="H11" i="19"/>
  <c r="H3" i="19"/>
  <c r="H4" i="19"/>
  <c r="H5" i="19"/>
  <c r="H6" i="19"/>
  <c r="H7" i="19"/>
  <c r="H8" i="19"/>
  <c r="H9" i="19"/>
  <c r="H10" i="19"/>
  <c r="H12" i="19"/>
  <c r="H13" i="19"/>
  <c r="H14" i="19"/>
  <c r="H15" i="19"/>
  <c r="H16" i="19"/>
  <c r="H17" i="19"/>
  <c r="H18" i="19"/>
  <c r="H2" i="19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" i="17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2" i="16"/>
  <c r="H17" i="15"/>
  <c r="H20" i="15"/>
  <c r="H22" i="15"/>
  <c r="H24" i="14"/>
  <c r="H21" i="15"/>
  <c r="H19" i="15"/>
  <c r="H18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8" i="14"/>
  <c r="H3" i="14"/>
  <c r="H4" i="14"/>
  <c r="H5" i="14"/>
  <c r="H6" i="14"/>
  <c r="H7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" i="14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2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" i="8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" i="6"/>
  <c r="H14" i="7"/>
  <c r="H3" i="7"/>
  <c r="H4" i="7"/>
  <c r="H5" i="7"/>
  <c r="H6" i="7"/>
  <c r="H7" i="7"/>
  <c r="H8" i="7"/>
  <c r="H9" i="7"/>
  <c r="H10" i="7"/>
  <c r="H11" i="7"/>
  <c r="H12" i="7"/>
  <c r="H13" i="7"/>
  <c r="H2" i="7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" i="5"/>
  <c r="H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2" i="3"/>
  <c r="H16" i="2" l="1"/>
  <c r="H17" i="2"/>
  <c r="H18" i="2"/>
  <c r="H11" i="2"/>
  <c r="H3" i="2"/>
  <c r="H4" i="2"/>
  <c r="H5" i="2"/>
  <c r="H6" i="2"/>
  <c r="H7" i="2"/>
  <c r="H8" i="2"/>
  <c r="H9" i="2"/>
  <c r="H10" i="2"/>
  <c r="H12" i="2"/>
  <c r="H13" i="2"/>
  <c r="H14" i="2"/>
  <c r="H15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ID#AAAA1SrHoc4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/rgCLesj750WW3Qh+gOxYoZRQK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ID#AAAA1SrHodM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PG3KnMn9nVT4K4RzzgEqH5n5x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ID#AAAAzqngtYM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+rDEfy9LtDGFber2u+Dne8ZeB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ID#AAAAzqngtYc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xD3Yym1erk1bxohQtkrs40RPy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ID#AAAAzqngtYA
Karen Silva A. (HHM)    (2023-06-21 22:11:38)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+64qMMtqUMFUL/u2kSoGwMgG6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ID#AAAA1SrHodE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qc2B0jpQmpNT3sCDUw2z72JFDO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======
ID#AAAA1SnVX1w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CShJnEhq60ctj6V1gX4y6y65R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ID#AAAA1SnVX14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q2SvylIlsrdhq6w4aqqFgm3d3Q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======
ID#AAAA1SnVX1s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q8TksvVDBcIbhfZpTLdu6UWhgA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======
ID#AAAA1SnVX2M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F6+HDrjphnZznzJCpu5J2rxRJQ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ID#AAAA1SrHocU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O4Clcd7flYXxDuBzTR/rFtvE3g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ID#AAAA1SrHocM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8gSIj5GaL8Fpx6U3Ubp168tDqw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======
ID#AAAA1SrHodI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Tke68JfblfwaBPOhzElKg+Oqqg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======
ID#AAAA1SrHocs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kqcHRbeLkC+sD7EVSHt98lWeQLA=="/>
    </ext>
  </extL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======
ID#AAAA1SnVX18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sgC1xHQ/qdkdDbmN4YBfUiQwPw=="/>
    </ext>
  </extL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CF313854-C71A-4D3E-B6A9-FB91EDD23AA2}">
      <text>
        <r>
          <rPr>
            <sz val="11"/>
            <color theme="1"/>
            <rFont val="Calibri"/>
            <family val="2"/>
            <scheme val="minor"/>
          </rPr>
          <t>======
ID#AAAA1SnVX1o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wMEDlFigcCAsSm7zoyN348nEWw=="/>
    </ext>
  </extL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======
ID#AAAA1SnVX1o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dTPsrhYf85lIuJloE5mOHiSI+g=="/>
    </ext>
  </extL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======
ID#AAAA1SrHocQ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Jwj/ZU7RxmqSEYkPdBwUh1HjQQ=="/>
    </ext>
  </extL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======
ID#AAAA1SrHoco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dfRAjHuMPRnFjc9B0gC/EExYsA=="/>
    </ext>
  </extL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======
ID#AAAA1SrHoc8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vQ5655fhzNXTZXVs/kuHL1Kavg=="/>
    </ext>
  </extL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======
ID#AAAA1SrHocg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a52EUVRYNpxPWCeMBJcurVq/kg=="/>
    </ext>
  </extL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D4459480-B921-48FE-8869-2746C9DF8480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ixh1wDGryHo4gE4gqQbChlQppg=="/>
    </ext>
  </extL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110785A7-E230-42D8-80FB-6F9BEBA553AF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/gnkuqtBhMn2SRYoWYvRtbQLog=="/>
    </ext>
  </extL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1FC0A1EF-7C6C-40C4-A2B8-659D50AF6CA3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QGEskZcnIGMUjLHYywb81WurRQ=="/>
    </ext>
  </extL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B12AB459-3760-41CD-8202-466A67E6B20D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fGPqVe1t0mDsy6SGP4gXXKQ+/Q=="/>
    </ext>
  </extL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D138099E-F8EB-4318-9F1F-314D90228D02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XrKTShI60/IC4Og5eahM3arm/w=="/>
    </ext>
  </extL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47CE7A36-EAB7-406A-9909-E8F575D47911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vhBwT+Hc+iSvmk6q8wHyMZ91mg=="/>
    </ext>
  </extL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1CCEF02E-ED17-4924-9E9B-DFF5EBB4D237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bROYHOydskQ1D/vARYe8R7OomQ=="/>
    </ext>
  </extL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8828400-4ED0-4818-A6AC-7C0DA2CAC9EF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cA+71u11DuCFbV0SzvydL0J7jw=="/>
    </ext>
  </extL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E9F8863F-36B5-4537-A3A3-E7ED29B94F38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proTOqOZ6wQWAvBvdyjLVFj3aw=="/>
    </ext>
  </extL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806CD6DD-04FA-426E-90AC-022F2F5E5CD1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Rxqwsq9zK+ler8ezVmGcbosFSg=="/>
    </ext>
  </extL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======
ID#AAAA1SrHoc0
Karen Silva A. (HHM)    (2023-06-21 22:11:39)
BASICOS: Pacientes sólo con CSV
INTERMEDIOS:Pacientes con curaciones simples día por medio
COMPLEJOS
Todos los Pacientes con cuidados de enfermería + kinesiología
Todos los pacientes con SNG, CUP, GTT, TQT
Todos los pacientes con O2
Todos los pacientes con curaciones complejas
Todos los pacientes con trat. Ev o sc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txeqlcw1xo9HFbRX9D/QMX/W8w=="/>
    </ext>
  </extLst>
</comments>
</file>

<file path=xl/sharedStrings.xml><?xml version="1.0" encoding="utf-8"?>
<sst xmlns="http://schemas.openxmlformats.org/spreadsheetml/2006/main" count="4539" uniqueCount="192">
  <si>
    <t>NOMBRE</t>
  </si>
  <si>
    <t>rut</t>
  </si>
  <si>
    <t>EDAD</t>
  </si>
  <si>
    <t>ING / CTRL</t>
  </si>
  <si>
    <t>Fecha Ingreso</t>
  </si>
  <si>
    <t>Días de estada</t>
  </si>
  <si>
    <t>ORIG</t>
  </si>
  <si>
    <t>Categ TIEMPO</t>
  </si>
  <si>
    <t>CATEG MINSAL</t>
  </si>
  <si>
    <t>CSV</t>
  </si>
  <si>
    <t>CURACION</t>
  </si>
  <si>
    <t>CURACION GTT/ TQT</t>
  </si>
  <si>
    <t>TTO EV</t>
  </si>
  <si>
    <t>TTO SC/IM</t>
  </si>
  <si>
    <t>Diagnóstico</t>
  </si>
  <si>
    <t>TURNO AM / PM</t>
  </si>
  <si>
    <t>TMT</t>
  </si>
  <si>
    <t>INTERMEDIO</t>
  </si>
  <si>
    <t>FRACTURA DE FÉMUR</t>
  </si>
  <si>
    <t>AM</t>
  </si>
  <si>
    <t>SERGIO SALDAÑA GONZALEZ</t>
  </si>
  <si>
    <t>7590864-4</t>
  </si>
  <si>
    <t>UE</t>
  </si>
  <si>
    <t>INFECCIÓN DE VÍAS URINARIAS</t>
  </si>
  <si>
    <t>UTI</t>
  </si>
  <si>
    <t>C/24</t>
  </si>
  <si>
    <t>MEDICINA</t>
  </si>
  <si>
    <t>KNT M</t>
  </si>
  <si>
    <t>MANUEL MELLA ESCAMILLA</t>
  </si>
  <si>
    <t>4931049-8</t>
  </si>
  <si>
    <t>CONTROL</t>
  </si>
  <si>
    <t>UCA-HCHM</t>
  </si>
  <si>
    <t>SIMPLE</t>
  </si>
  <si>
    <t>TUMOR MALIGNO DEL LABIO</t>
  </si>
  <si>
    <t>NEUMONIA</t>
  </si>
  <si>
    <t>CIRO PARADA LABRIN</t>
  </si>
  <si>
    <t>6511085-7</t>
  </si>
  <si>
    <t>JUAN CONTRERAS LARA</t>
  </si>
  <si>
    <t>17695982-7</t>
  </si>
  <si>
    <t>COMPLEJO</t>
  </si>
  <si>
    <t>INGRESO</t>
  </si>
  <si>
    <t>SI</t>
  </si>
  <si>
    <t>RAMON SOTO ROSALES</t>
  </si>
  <si>
    <t>15160433-1</t>
  </si>
  <si>
    <t>AVANZADA</t>
  </si>
  <si>
    <t>LESIÓN EN CADERA DERECHA Y TÓRAX</t>
  </si>
  <si>
    <t>KNT R</t>
  </si>
  <si>
    <t>EMELINA MEDEL MUÑOZ</t>
  </si>
  <si>
    <t>8935418-6</t>
  </si>
  <si>
    <t>DIVERTICULITIS</t>
  </si>
  <si>
    <t>LUIS PILCANTE SEGURA</t>
  </si>
  <si>
    <t>10279533-4</t>
  </si>
  <si>
    <t>FONO</t>
  </si>
  <si>
    <t>EVARISTA APARICIO CARO</t>
  </si>
  <si>
    <t>5708494-4</t>
  </si>
  <si>
    <t>ACCIDENTE VASCULAR ENCEFÁLICO HEMORRÁGICO</t>
  </si>
  <si>
    <t>VICTORIA FIGUEROA IRRIBARRA</t>
  </si>
  <si>
    <t>5673052-4</t>
  </si>
  <si>
    <t>CELULITIS</t>
  </si>
  <si>
    <t>LUIS ORTEGA NAVARRETE</t>
  </si>
  <si>
    <t>6410210-9</t>
  </si>
  <si>
    <t>ÚLCERA POR PRESIÓN GLÚTEA IZQUIERDA INFECTADA</t>
  </si>
  <si>
    <t>MARIO FAUNDEZ CONTRERAS</t>
  </si>
  <si>
    <t>8021103-1</t>
  </si>
  <si>
    <t>HEMORRAGIA INTRACRANEAL</t>
  </si>
  <si>
    <t>FECHA</t>
  </si>
  <si>
    <t xml:space="preserve"> </t>
  </si>
  <si>
    <t>FIRMA</t>
  </si>
  <si>
    <t>INFECCIÓN VÍAS URINARIAS</t>
  </si>
  <si>
    <t>C/12</t>
  </si>
  <si>
    <t>FREDY CEBALLOS FERRADA</t>
  </si>
  <si>
    <t>7760943-1</t>
  </si>
  <si>
    <t>ESTENOSIS AÓRTICA</t>
  </si>
  <si>
    <t>ROSA SEPÚLVEDA MORAGA</t>
  </si>
  <si>
    <t>INSUFICIENCIA CARDIACA</t>
  </si>
  <si>
    <t>8157070-1</t>
  </si>
  <si>
    <t>PIE DIABÉTICO</t>
  </si>
  <si>
    <t>LUIS PEÑA MORALES</t>
  </si>
  <si>
    <t>2882974-4</t>
  </si>
  <si>
    <t>FRANCISCO PINO SAAVEDRA</t>
  </si>
  <si>
    <t>8295217-9</t>
  </si>
  <si>
    <t>PATRICIO FUENTES BAHAMONDES</t>
  </si>
  <si>
    <t>11111422-6</t>
  </si>
  <si>
    <t>LUIS MUÑOZ NAVARRETE</t>
  </si>
  <si>
    <t>4847742-9</t>
  </si>
  <si>
    <t>ACV HEMORRÁGICO</t>
  </si>
  <si>
    <t>FELICIA PALACIOS CÁCERES</t>
  </si>
  <si>
    <t>5181398-7</t>
  </si>
  <si>
    <t>SEPTICEMIA</t>
  </si>
  <si>
    <t>MARIA MORALES ARIAS</t>
  </si>
  <si>
    <t>10937159-9</t>
  </si>
  <si>
    <t>SINDROME DE GUILLAIN-BARRÉ</t>
  </si>
  <si>
    <t>LUCIA VIVANCO GONZÁLEZ</t>
  </si>
  <si>
    <t>12117267-4</t>
  </si>
  <si>
    <t>PIELONEFRITIS AGUDA</t>
  </si>
  <si>
    <t>MANUEL HERNÁNDEZ HERNÁNDEZ</t>
  </si>
  <si>
    <t>7593625-7</t>
  </si>
  <si>
    <t>CIRUGÍA</t>
  </si>
  <si>
    <t>LUIS SUAZO MUÑOZ</t>
  </si>
  <si>
    <t>4214689-7</t>
  </si>
  <si>
    <t>OSTEOMIELITIS</t>
  </si>
  <si>
    <t>HERIDA DE OTRAS PARTES DEL PIE</t>
  </si>
  <si>
    <t>ANA HERNANDEZ ARZOLA</t>
  </si>
  <si>
    <t>ELBA LOYOLA SOTO</t>
  </si>
  <si>
    <t>3846219-9</t>
  </si>
  <si>
    <t>ACV</t>
  </si>
  <si>
    <t>7832384-1</t>
  </si>
  <si>
    <t>FRACTURA DE HÚMERO</t>
  </si>
  <si>
    <t>4214689-6</t>
  </si>
  <si>
    <t>MARGARITA PARADA URRUTIA</t>
  </si>
  <si>
    <t>10047611-8</t>
  </si>
  <si>
    <t>CMI</t>
  </si>
  <si>
    <t>GANGRENA 2DO ORTEJO</t>
  </si>
  <si>
    <t>JUAN MARTINEZ SALDAÑA</t>
  </si>
  <si>
    <t>3846219-8</t>
  </si>
  <si>
    <t>11177407-2</t>
  </si>
  <si>
    <t>INFARTO CEREBRAL</t>
  </si>
  <si>
    <t>INÉS RIVAS ALARCÓN</t>
  </si>
  <si>
    <t>4466653-7</t>
  </si>
  <si>
    <t>FRACTURA DE FEMUR</t>
  </si>
  <si>
    <t>11177407-3</t>
  </si>
  <si>
    <t>JUAN ROMERO ROMERO</t>
  </si>
  <si>
    <t>FRESIA NOVOA ESPINOZA</t>
  </si>
  <si>
    <t>4543316-1</t>
  </si>
  <si>
    <t>7341969-7</t>
  </si>
  <si>
    <t>EMILIA CONTRERAS SEPÚLVEDA</t>
  </si>
  <si>
    <t>9596278-5</t>
  </si>
  <si>
    <t>CIRUGIA</t>
  </si>
  <si>
    <t>BRONCONEUMONIA</t>
  </si>
  <si>
    <t>OBSTRUCCIÓN INTESTINAL</t>
  </si>
  <si>
    <t>SHH RESUELTO</t>
  </si>
  <si>
    <t>EPOC EXACERBADO RESUELTO</t>
  </si>
  <si>
    <t>MAURICIO CARO MUÑOZ</t>
  </si>
  <si>
    <t>18788984-7</t>
  </si>
  <si>
    <t>GERMÁN RODRIGUEZ QUEZADA</t>
  </si>
  <si>
    <t>14024741-3</t>
  </si>
  <si>
    <t>VALENTINA ARAVENA MUÑOZ</t>
  </si>
  <si>
    <t>CHRISTIAN CISTERNA CERDA</t>
  </si>
  <si>
    <t>18489881-0</t>
  </si>
  <si>
    <t>14278615-K</t>
  </si>
  <si>
    <t>INSUFICIENCIA VENOSA</t>
  </si>
  <si>
    <t>NELLY ESPINOZA ZAPATA</t>
  </si>
  <si>
    <t>6470081-2</t>
  </si>
  <si>
    <t>CATALINA CASTRO MUÑOZ</t>
  </si>
  <si>
    <t>17696943-1</t>
  </si>
  <si>
    <t>LUXOFRACTURA DE TOBILLO D°</t>
  </si>
  <si>
    <t>VICTOR CONTRERAS ARIAS</t>
  </si>
  <si>
    <t>3723999-2</t>
  </si>
  <si>
    <t>ACV ISQUÉMICO</t>
  </si>
  <si>
    <t>MICDALIA TRONCONIS DE NESTRE</t>
  </si>
  <si>
    <t>41330617-5</t>
  </si>
  <si>
    <t>TU MALIGNO DEL ANO</t>
  </si>
  <si>
    <t>PATRICIA REVECO  SOTO</t>
  </si>
  <si>
    <t>9011970-2</t>
  </si>
  <si>
    <t>ALEXANDER ARIAS MARTINEZ</t>
  </si>
  <si>
    <t>17976025-8</t>
  </si>
  <si>
    <t>ROSA MERCADO ÁVILA</t>
  </si>
  <si>
    <t>2966554-0</t>
  </si>
  <si>
    <t>EMBOLIA PULMONAR</t>
  </si>
  <si>
    <t>AVANZADO</t>
  </si>
  <si>
    <t>BRUDY VERA SILVA</t>
  </si>
  <si>
    <t>11001261-6</t>
  </si>
  <si>
    <t>HEMORRAGIA INTRACEREBRAL</t>
  </si>
  <si>
    <t>RAMÓN GUTIERREZ FUENTES</t>
  </si>
  <si>
    <t>4311813-7</t>
  </si>
  <si>
    <t>NEUMONIA/FA EN TACO</t>
  </si>
  <si>
    <t xml:space="preserve">GUSTAVO GODOY GODOY </t>
  </si>
  <si>
    <t>4165841-K</t>
  </si>
  <si>
    <t>JENOVEVA IBAÑEZ ACUÑA</t>
  </si>
  <si>
    <t>8437472-5</t>
  </si>
  <si>
    <t>RENE TORRES MUÑOZ</t>
  </si>
  <si>
    <t>11566271-6</t>
  </si>
  <si>
    <t xml:space="preserve">CELULITIS </t>
  </si>
  <si>
    <t>ESTER MUÑOZ SAN MARTÍN</t>
  </si>
  <si>
    <t>4973551-0</t>
  </si>
  <si>
    <t>PENFIGOIDE AMPOLLOSO</t>
  </si>
  <si>
    <t>ITU</t>
  </si>
  <si>
    <t>YOLANDA MOLINA IRRIBARRA</t>
  </si>
  <si>
    <t>3168595-8</t>
  </si>
  <si>
    <t>CAE</t>
  </si>
  <si>
    <t>IRMA BAHAMONDEZ CARO</t>
  </si>
  <si>
    <t>HILDA MENA ARAYA</t>
  </si>
  <si>
    <t>4299325-5</t>
  </si>
  <si>
    <t>3834915-5</t>
  </si>
  <si>
    <t>EDUARDO SEPÚLVEDA SEPÚLVEDA</t>
  </si>
  <si>
    <t>9952281-K</t>
  </si>
  <si>
    <t>SANDRO MUÑOZ MUÑOZ</t>
  </si>
  <si>
    <t>11770525-0</t>
  </si>
  <si>
    <t xml:space="preserve">INTERMEDIO </t>
  </si>
  <si>
    <t>EPOC SOBREINFECTADO</t>
  </si>
  <si>
    <t>HIC TALAMOCAPSULAR D°</t>
  </si>
  <si>
    <t>EXS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</si>
</sst>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/m/yyyy"/>
    <numFmt numFmtId="166" formatCode="dd\-mm\-yyyy"/>
  </numFmts>
  <fonts count="7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3F3F3F"/>
      <name val="Calibri"/>
      <family val="2"/>
    </font>
    <font>
      <sz val="12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165" fontId="2" fillId="3" borderId="2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165" fontId="2" fillId="3" borderId="4" xfId="0" applyNumberFormat="1" applyFont="1" applyFill="1" applyBorder="1"/>
    <xf numFmtId="0" fontId="2" fillId="3" borderId="5" xfId="0" applyFont="1" applyFill="1" applyBorder="1" applyAlignment="1">
      <alignment horizontal="center"/>
    </xf>
    <xf numFmtId="0" fontId="4" fillId="3" borderId="6" xfId="0" applyFont="1" applyFill="1" applyBorder="1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165" fontId="2" fillId="3" borderId="2" xfId="0" applyNumberFormat="1" applyFont="1" applyFill="1" applyBorder="1" applyAlignment="1">
      <alignment horizontal="center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165" fontId="4" fillId="3" borderId="4" xfId="0" applyNumberFormat="1" applyFont="1" applyFill="1" applyBorder="1"/>
    <xf numFmtId="0" fontId="2" fillId="3" borderId="4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 wrapText="1"/>
    </xf>
    <xf numFmtId="165" fontId="2" fillId="3" borderId="4" xfId="0" applyNumberFormat="1" applyFont="1" applyFill="1" applyBorder="1" applyAlignment="1">
      <alignment horizontal="right" wrapText="1"/>
    </xf>
    <xf numFmtId="0" fontId="4" fillId="3" borderId="4" xfId="0" applyFont="1" applyFill="1" applyBorder="1" applyAlignment="1">
      <alignment wrapText="1"/>
    </xf>
    <xf numFmtId="166" fontId="4" fillId="3" borderId="4" xfId="0" applyNumberFormat="1" applyFont="1" applyFill="1" applyBorder="1"/>
    <xf numFmtId="0" fontId="3" fillId="0" borderId="0" xfId="0" applyFont="1"/>
    <xf numFmtId="0" fontId="4" fillId="4" borderId="4" xfId="0" applyFont="1" applyFill="1" applyBorder="1" applyAlignment="1">
      <alignment horizontal="left"/>
    </xf>
    <xf numFmtId="165" fontId="4" fillId="4" borderId="8" xfId="0" applyNumberFormat="1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165" fontId="4" fillId="4" borderId="2" xfId="0" applyNumberFormat="1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165" fontId="4" fillId="3" borderId="2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65" fontId="4" fillId="3" borderId="4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4" fillId="3" borderId="2" xfId="0" applyNumberFormat="1" applyFont="1" applyFill="1" applyBorder="1" applyAlignment="1">
      <alignment horizontal="right"/>
    </xf>
    <xf numFmtId="166" fontId="4" fillId="3" borderId="2" xfId="0" applyNumberFormat="1" applyFont="1" applyFill="1" applyBorder="1" applyAlignment="1">
      <alignment horizontal="right"/>
    </xf>
    <xf numFmtId="165" fontId="4" fillId="3" borderId="2" xfId="0" applyNumberFormat="1" applyFont="1" applyFill="1" applyBorder="1"/>
    <xf numFmtId="0" fontId="2" fillId="3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165" fontId="5" fillId="5" borderId="4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left" vertical="center" wrapText="1"/>
    </xf>
    <xf numFmtId="165" fontId="5" fillId="5" borderId="4" xfId="0" applyNumberFormat="1" applyFont="1" applyFill="1" applyBorder="1" applyAlignment="1">
      <alignment horizontal="left"/>
    </xf>
    <xf numFmtId="165" fontId="5" fillId="3" borderId="4" xfId="0" applyNumberFormat="1" applyFont="1" applyFill="1" applyBorder="1"/>
    <xf numFmtId="0" fontId="5" fillId="3" borderId="4" xfId="0" applyFont="1" applyFill="1" applyBorder="1"/>
    <xf numFmtId="165" fontId="5" fillId="4" borderId="2" xfId="0" applyNumberFormat="1" applyFont="1" applyFill="1" applyBorder="1" applyAlignment="1">
      <alignment horizontal="left"/>
    </xf>
    <xf numFmtId="165" fontId="5" fillId="5" borderId="2" xfId="0" applyNumberFormat="1" applyFont="1" applyFill="1" applyBorder="1" applyAlignment="1">
      <alignment horizontal="left"/>
    </xf>
    <xf numFmtId="165" fontId="5" fillId="5" borderId="3" xfId="0" applyNumberFormat="1" applyFont="1" applyFill="1" applyBorder="1" applyAlignment="1">
      <alignment horizontal="left"/>
    </xf>
    <xf numFmtId="165" fontId="5" fillId="5" borderId="5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5" borderId="4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left" wrapText="1"/>
    </xf>
    <xf numFmtId="165" fontId="4" fillId="3" borderId="4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5" fontId="5" fillId="5" borderId="2" xfId="0" applyNumberFormat="1" applyFont="1" applyFill="1" applyBorder="1" applyAlignment="1">
      <alignment horizontal="center"/>
    </xf>
    <xf numFmtId="165" fontId="5" fillId="5" borderId="5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 vertical="center" wrapText="1"/>
    </xf>
    <xf numFmtId="0" fontId="5" fillId="5" borderId="11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165" fontId="2" fillId="4" borderId="4" xfId="0" applyNumberFormat="1" applyFont="1" applyFill="1" applyBorder="1" applyAlignment="1">
      <alignment horizontal="center" wrapText="1"/>
    </xf>
    <xf numFmtId="165" fontId="4" fillId="4" borderId="4" xfId="0" applyNumberFormat="1" applyFont="1" applyFill="1" applyBorder="1" applyAlignment="1">
      <alignment horizontal="center"/>
    </xf>
    <xf numFmtId="165" fontId="4" fillId="4" borderId="2" xfId="0" applyNumberFormat="1" applyFont="1" applyFill="1" applyBorder="1" applyAlignment="1">
      <alignment horizontal="center" wrapText="1"/>
    </xf>
    <xf numFmtId="165" fontId="4" fillId="4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0" fontId="2" fillId="3" borderId="9" xfId="0" applyFont="1" applyFill="1" applyBorder="1"/>
    <xf numFmtId="0" fontId="0" fillId="8" borderId="10" xfId="0" applyFill="1" applyBorder="1"/>
    <xf numFmtId="0" fontId="4" fillId="9" borderId="10" xfId="0" applyFont="1" applyFill="1" applyBorder="1"/>
    <xf numFmtId="0" fontId="4" fillId="9" borderId="10" xfId="0" applyFont="1" applyFill="1" applyBorder="1" applyAlignment="1">
      <alignment horizontal="left"/>
    </xf>
    <xf numFmtId="165" fontId="4" fillId="9" borderId="10" xfId="0" applyNumberFormat="1" applyFont="1" applyFill="1" applyBorder="1"/>
    <xf numFmtId="0" fontId="2" fillId="9" borderId="10" xfId="0" applyFont="1" applyFill="1" applyBorder="1"/>
    <xf numFmtId="14" fontId="5" fillId="5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
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
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
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
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
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
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
<Relationships xmlns="http://schemas.openxmlformats.org/package/2006/relationships"><Relationship Id="rId1" Type="http://customschemas.google.com/relationships/workbookmetadata" Target="commentsmeta20"/></Relationships>
</file>

<file path=xl/_rels/comments22.xml.rels><?xml version="1.0" encoding="UTF-8" standalone="yes"?>
<Relationships xmlns="http://schemas.openxmlformats.org/package/2006/relationships"><Relationship Id="rId1" Type="http://customschemas.google.com/relationships/workbookmetadata" Target="commentsmeta21"/></Relationships>
</file>

<file path=xl/_rels/comments23.xml.rels><?xml version="1.0" encoding="UTF-8" standalone="yes"?>
<Relationships xmlns="http://schemas.openxmlformats.org/package/2006/relationships"><Relationship Id="rId1" Type="http://customschemas.google.com/relationships/workbookmetadata" Target="commentsmeta22"/></Relationships>
</file>

<file path=xl/_rels/comments24.xml.rels><?xml version="1.0" encoding="UTF-8" standalone="yes"?>
<Relationships xmlns="http://schemas.openxmlformats.org/package/2006/relationships"><Relationship Id="rId1" Type="http://customschemas.google.com/relationships/workbookmetadata" Target="commentsmeta23"/></Relationships>
</file>

<file path=xl/_rels/comments25.xml.rels><?xml version="1.0" encoding="UTF-8" standalone="yes"?>
<Relationships xmlns="http://schemas.openxmlformats.org/package/2006/relationships"><Relationship Id="rId1" Type="http://customschemas.google.com/relationships/workbookmetadata" Target="commentsmeta24"/></Relationships>
</file>

<file path=xl/_rels/comments26.xml.rels><?xml version="1.0" encoding="UTF-8" standalone="yes"?>
<Relationships xmlns="http://schemas.openxmlformats.org/package/2006/relationships"><Relationship Id="rId1" Type="http://customschemas.google.com/relationships/workbookmetadata" Target="commentsmeta25"/></Relationships>
</file>

<file path=xl/_rels/comments27.xml.rels><?xml version="1.0" encoding="UTF-8" standalone="yes"?>
<Relationships xmlns="http://schemas.openxmlformats.org/package/2006/relationships"><Relationship Id="rId1" Type="http://customschemas.google.com/relationships/workbookmetadata" Target="commentsmeta26"/></Relationships>
</file>

<file path=xl/_rels/comments28.xml.rels><?xml version="1.0" encoding="UTF-8" standalone="yes"?>
<Relationships xmlns="http://schemas.openxmlformats.org/package/2006/relationships"><Relationship Id="rId1" Type="http://customschemas.google.com/relationships/workbookmetadata" Target="commentsmeta27"/></Relationships>
</file>

<file path=xl/_rels/comments29.xml.rels><?xml version="1.0" encoding="UTF-8" standalone="yes"?>
<Relationships xmlns="http://schemas.openxmlformats.org/package/2006/relationships"><Relationship Id="rId1" Type="http://customschemas.google.com/relationships/workbookmetadata" Target="commentsmeta28"/></Relationships>
</file>

<file path=xl/_rels/comments30.xml.rels><?xml version="1.0" encoding="UTF-8" standalone="yes"?>
<Relationships xmlns="http://schemas.openxmlformats.org/package/2006/relationships"><Relationship Id="rId1" Type="http://customschemas.google.com/relationships/workbookmetadata" Target="commentsmeta29"/></Relationships>
</file>

<file path=xl/_rels/comments31.xml.rels><?xml version="1.0" encoding="UTF-8" standalone="yes"?>
<Relationships xmlns="http://schemas.openxmlformats.org/package/2006/relationships"><Relationship Id="rId1" Type="http://customschemas.google.com/relationships/workbookmetadata" Target="commentsmeta30"/></Relationships>
</file>

<file path=xl/_rels/comments32.xml.rels><?xml version="1.0" encoding="UTF-8" standalone="yes"?>
<Relationships xmlns="http://schemas.openxmlformats.org/package/2006/relationships"><Relationship Id="rId1" Type="http://customschemas.google.com/relationships/workbookmetadata" Target="commentsmeta3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9"/>
  <sheetViews>
    <sheetView topLeftCell="A7" zoomScale="60" zoomScaleNormal="60" workbookViewId="0">
      <selection activeCell="B43" sqref="B43:Q43"/>
    </sheetView>
  </sheetViews>
  <sheetFormatPr baseColWidth="10" defaultColWidth="14.42578125" defaultRowHeight="15" customHeight="1" x14ac:dyDescent="0.25"/>
  <cols>
    <col min="1" max="1" width="4.42578125" customWidth="1"/>
    <col min="2" max="2" width="43.7109375" customWidth="1"/>
    <col min="3" max="3" width="16.28515625" customWidth="1"/>
    <col min="4" max="4" width="6.5703125" customWidth="1"/>
    <col min="5" max="5" width="10.7109375" customWidth="1"/>
    <col min="6" max="6" width="21.85546875" customWidth="1"/>
    <col min="7" max="7" width="7.140625" customWidth="1"/>
    <col min="8" max="8" width="13.7109375" customWidth="1"/>
    <col min="9" max="9" width="8.7109375" customWidth="1"/>
    <col min="10" max="10" width="25.5703125" customWidth="1"/>
    <col min="11" max="11" width="4.85546875" customWidth="1"/>
    <col min="12" max="12" width="15" customWidth="1"/>
    <col min="13" max="13" width="10.7109375" customWidth="1"/>
    <col min="14" max="14" width="12.85546875" customWidth="1"/>
    <col min="15" max="15" width="9.5703125" customWidth="1"/>
    <col min="16" max="16" width="41" customWidth="1"/>
    <col min="17" max="17" width="7" customWidth="1"/>
    <col min="18" max="27" width="10.7109375" customWidth="1"/>
  </cols>
  <sheetData>
    <row r="1" spans="1:17" ht="63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.75" x14ac:dyDescent="0.25">
      <c r="B2" s="77" t="s">
        <v>28</v>
      </c>
      <c r="C2" s="77" t="s">
        <v>29</v>
      </c>
      <c r="D2" s="77">
        <v>81</v>
      </c>
      <c r="E2" s="77" t="s">
        <v>30</v>
      </c>
      <c r="F2" s="95">
        <v>45105</v>
      </c>
      <c r="G2" s="78"/>
      <c r="H2" s="77" t="s">
        <v>31</v>
      </c>
      <c r="I2" s="77"/>
      <c r="J2" s="77" t="s">
        <v>17</v>
      </c>
      <c r="K2" s="76" t="s">
        <v>41</v>
      </c>
      <c r="L2" s="77" t="s">
        <v>32</v>
      </c>
      <c r="M2" s="77"/>
      <c r="N2" s="77"/>
      <c r="O2" s="77"/>
      <c r="P2" s="77" t="s">
        <v>33</v>
      </c>
      <c r="Q2" s="76" t="s">
        <v>19</v>
      </c>
    </row>
    <row r="3" spans="1:17" ht="15.75" x14ac:dyDescent="0.25">
      <c r="B3" s="80" t="s">
        <v>35</v>
      </c>
      <c r="C3" s="80" t="s">
        <v>36</v>
      </c>
      <c r="D3" s="80">
        <v>72</v>
      </c>
      <c r="E3" s="80"/>
      <c r="F3" s="91">
        <v>45108</v>
      </c>
      <c r="G3" s="82"/>
      <c r="H3" s="80" t="s">
        <v>22</v>
      </c>
      <c r="I3" s="80"/>
      <c r="J3" s="80" t="s">
        <v>17</v>
      </c>
      <c r="K3" s="76" t="s">
        <v>41</v>
      </c>
      <c r="L3" s="80"/>
      <c r="M3" s="80"/>
      <c r="N3" s="80" t="s">
        <v>25</v>
      </c>
      <c r="O3" s="80"/>
      <c r="P3" s="80" t="s">
        <v>23</v>
      </c>
      <c r="Q3" s="76" t="s">
        <v>19</v>
      </c>
    </row>
    <row r="4" spans="1:17" ht="15.75" x14ac:dyDescent="0.25">
      <c r="A4">
        <v>1</v>
      </c>
      <c r="B4" s="83" t="s">
        <v>37</v>
      </c>
      <c r="C4" s="83" t="s">
        <v>38</v>
      </c>
      <c r="D4" s="83">
        <v>32</v>
      </c>
      <c r="E4" s="83"/>
      <c r="F4" s="97">
        <v>45125</v>
      </c>
      <c r="G4" s="84"/>
      <c r="H4" s="83" t="s">
        <v>24</v>
      </c>
      <c r="I4" s="83"/>
      <c r="J4" s="83" t="s">
        <v>39</v>
      </c>
      <c r="K4" s="76" t="s">
        <v>41</v>
      </c>
      <c r="L4" s="83"/>
      <c r="M4" s="83"/>
      <c r="N4" s="83" t="s">
        <v>25</v>
      </c>
      <c r="O4" s="83"/>
      <c r="P4" s="83" t="s">
        <v>74</v>
      </c>
      <c r="Q4" s="76" t="s">
        <v>19</v>
      </c>
    </row>
    <row r="5" spans="1:17" ht="15.75" x14ac:dyDescent="0.25">
      <c r="A5">
        <v>2</v>
      </c>
      <c r="B5" s="85" t="s">
        <v>42</v>
      </c>
      <c r="C5" s="86" t="s">
        <v>43</v>
      </c>
      <c r="D5" s="86">
        <v>41</v>
      </c>
      <c r="E5" s="86" t="s">
        <v>30</v>
      </c>
      <c r="F5" s="69">
        <v>45114</v>
      </c>
      <c r="G5" s="87">
        <v>12</v>
      </c>
      <c r="H5" s="86" t="s">
        <v>22</v>
      </c>
      <c r="I5" s="86">
        <v>1</v>
      </c>
      <c r="J5" s="86" t="s">
        <v>39</v>
      </c>
      <c r="K5" s="76" t="s">
        <v>41</v>
      </c>
      <c r="L5" s="86" t="s">
        <v>44</v>
      </c>
      <c r="M5" s="86"/>
      <c r="N5" s="86"/>
      <c r="O5" s="86"/>
      <c r="P5" s="86" t="s">
        <v>45</v>
      </c>
      <c r="Q5" s="76" t="s">
        <v>19</v>
      </c>
    </row>
    <row r="6" spans="1:17" ht="15.75" x14ac:dyDescent="0.25">
      <c r="A6">
        <v>3</v>
      </c>
      <c r="B6" s="77" t="s">
        <v>20</v>
      </c>
      <c r="C6" s="77" t="s">
        <v>21</v>
      </c>
      <c r="D6" s="77">
        <v>65</v>
      </c>
      <c r="E6" s="77"/>
      <c r="F6" s="95">
        <v>45106</v>
      </c>
      <c r="G6" s="78">
        <v>2</v>
      </c>
      <c r="H6" s="77" t="s">
        <v>22</v>
      </c>
      <c r="I6" s="77"/>
      <c r="J6" s="76" t="s">
        <v>17</v>
      </c>
      <c r="K6" s="76" t="s">
        <v>41</v>
      </c>
      <c r="L6" s="77"/>
      <c r="M6" s="77"/>
      <c r="N6" s="77"/>
      <c r="O6" s="77"/>
      <c r="P6" s="77" t="s">
        <v>23</v>
      </c>
      <c r="Q6" s="76" t="s">
        <v>19</v>
      </c>
    </row>
    <row r="7" spans="1:17" ht="15.75" x14ac:dyDescent="0.25">
      <c r="A7">
        <v>4</v>
      </c>
      <c r="B7" s="77" t="s">
        <v>47</v>
      </c>
      <c r="C7" s="77" t="s">
        <v>48</v>
      </c>
      <c r="D7" s="77">
        <v>73</v>
      </c>
      <c r="E7" s="77"/>
      <c r="F7" s="95">
        <v>45150</v>
      </c>
      <c r="G7" s="78"/>
      <c r="H7" s="77" t="s">
        <v>16</v>
      </c>
      <c r="I7" s="77"/>
      <c r="J7" s="77" t="s">
        <v>17</v>
      </c>
      <c r="K7" s="76" t="s">
        <v>41</v>
      </c>
      <c r="L7" s="77" t="s">
        <v>32</v>
      </c>
      <c r="M7" s="77"/>
      <c r="N7" s="77"/>
      <c r="O7" s="77"/>
      <c r="P7" s="77" t="s">
        <v>49</v>
      </c>
      <c r="Q7" s="76" t="s">
        <v>19</v>
      </c>
    </row>
    <row r="8" spans="1:17" ht="15.75" customHeight="1" x14ac:dyDescent="0.25">
      <c r="A8">
        <v>11</v>
      </c>
      <c r="B8" s="80" t="s">
        <v>73</v>
      </c>
      <c r="C8" s="80" t="s">
        <v>75</v>
      </c>
      <c r="D8" s="80">
        <v>79</v>
      </c>
      <c r="E8" s="80"/>
      <c r="F8" s="91">
        <v>45125</v>
      </c>
      <c r="G8" s="80"/>
      <c r="H8" s="80" t="s">
        <v>26</v>
      </c>
      <c r="I8" s="80"/>
      <c r="J8" s="80" t="s">
        <v>39</v>
      </c>
      <c r="K8" s="76" t="s">
        <v>41</v>
      </c>
      <c r="L8" s="80" t="s">
        <v>44</v>
      </c>
      <c r="M8" s="80"/>
      <c r="N8" s="80" t="s">
        <v>25</v>
      </c>
      <c r="O8" s="80"/>
      <c r="P8" s="80" t="s">
        <v>76</v>
      </c>
      <c r="Q8" s="76" t="s">
        <v>19</v>
      </c>
    </row>
    <row r="9" spans="1:17" ht="15.75" customHeight="1" x14ac:dyDescent="0.25">
      <c r="A9">
        <v>12</v>
      </c>
      <c r="B9" s="80" t="s">
        <v>77</v>
      </c>
      <c r="C9" s="80" t="s">
        <v>78</v>
      </c>
      <c r="D9" s="80">
        <v>86</v>
      </c>
      <c r="E9" s="80"/>
      <c r="F9" s="91">
        <v>45127</v>
      </c>
      <c r="G9" s="80"/>
      <c r="H9" s="80" t="s">
        <v>26</v>
      </c>
      <c r="I9" s="80"/>
      <c r="J9" s="80" t="s">
        <v>17</v>
      </c>
      <c r="K9" s="76" t="s">
        <v>41</v>
      </c>
      <c r="L9" s="80"/>
      <c r="M9" s="80"/>
      <c r="N9" s="80" t="s">
        <v>25</v>
      </c>
      <c r="O9" s="80"/>
      <c r="P9" s="80" t="s">
        <v>34</v>
      </c>
      <c r="Q9" s="76" t="s">
        <v>19</v>
      </c>
    </row>
    <row r="10" spans="1:17" ht="15.75" customHeight="1" x14ac:dyDescent="0.25">
      <c r="A10">
        <v>13</v>
      </c>
      <c r="B10" s="80" t="s">
        <v>79</v>
      </c>
      <c r="C10" s="80" t="s">
        <v>80</v>
      </c>
      <c r="D10" s="80">
        <v>66</v>
      </c>
      <c r="E10" s="80"/>
      <c r="F10" s="91">
        <v>45128</v>
      </c>
      <c r="G10" s="80"/>
      <c r="H10" s="80" t="s">
        <v>16</v>
      </c>
      <c r="I10" s="80"/>
      <c r="J10" s="80" t="s">
        <v>17</v>
      </c>
      <c r="K10" s="76" t="s">
        <v>41</v>
      </c>
      <c r="L10" s="80" t="s">
        <v>27</v>
      </c>
      <c r="M10" s="80"/>
      <c r="N10" s="80"/>
      <c r="O10" s="80"/>
      <c r="P10" s="80" t="s">
        <v>76</v>
      </c>
      <c r="Q10" s="76" t="s">
        <v>19</v>
      </c>
    </row>
    <row r="11" spans="1:17" ht="15.75" customHeight="1" x14ac:dyDescent="0.25">
      <c r="A11">
        <v>14</v>
      </c>
      <c r="B11" s="80" t="s">
        <v>81</v>
      </c>
      <c r="C11" s="80" t="s">
        <v>82</v>
      </c>
      <c r="D11" s="80">
        <v>56</v>
      </c>
      <c r="E11" s="80"/>
      <c r="F11" s="91">
        <v>45128</v>
      </c>
      <c r="G11" s="80"/>
      <c r="H11" s="80" t="s">
        <v>26</v>
      </c>
      <c r="I11" s="80"/>
      <c r="J11" s="80" t="s">
        <v>17</v>
      </c>
      <c r="K11" s="76" t="s">
        <v>41</v>
      </c>
      <c r="L11" s="80"/>
      <c r="M11" s="80"/>
      <c r="N11" s="80" t="s">
        <v>25</v>
      </c>
      <c r="O11" s="80"/>
      <c r="P11" s="80" t="s">
        <v>34</v>
      </c>
      <c r="Q11" s="76" t="s">
        <v>19</v>
      </c>
    </row>
    <row r="12" spans="1:17" ht="15.75" customHeight="1" x14ac:dyDescent="0.25">
      <c r="A12">
        <v>15</v>
      </c>
      <c r="B12" s="80" t="s">
        <v>83</v>
      </c>
      <c r="C12" s="80" t="s">
        <v>84</v>
      </c>
      <c r="D12" s="80">
        <v>81</v>
      </c>
      <c r="E12" s="80"/>
      <c r="F12" s="91">
        <v>45129</v>
      </c>
      <c r="G12" s="80"/>
      <c r="H12" s="80" t="s">
        <v>26</v>
      </c>
      <c r="I12" s="80"/>
      <c r="J12" s="80" t="s">
        <v>17</v>
      </c>
      <c r="K12" s="76" t="s">
        <v>41</v>
      </c>
      <c r="L12" s="80" t="s">
        <v>27</v>
      </c>
      <c r="M12" s="80" t="s">
        <v>52</v>
      </c>
      <c r="N12" s="80"/>
      <c r="O12" s="80"/>
      <c r="P12" s="80" t="s">
        <v>85</v>
      </c>
      <c r="Q12" s="76" t="s">
        <v>19</v>
      </c>
    </row>
    <row r="13" spans="1:17" ht="15.75" customHeight="1" x14ac:dyDescent="0.25">
      <c r="A13">
        <v>21</v>
      </c>
      <c r="B13" s="80" t="s">
        <v>95</v>
      </c>
      <c r="C13" s="80" t="s">
        <v>96</v>
      </c>
      <c r="D13" s="80">
        <v>74</v>
      </c>
      <c r="E13" s="80"/>
      <c r="F13" s="91">
        <v>45154</v>
      </c>
      <c r="G13" s="80"/>
      <c r="H13" s="80" t="s">
        <v>97</v>
      </c>
      <c r="I13" s="80">
        <v>1.5</v>
      </c>
      <c r="J13" s="80" t="s">
        <v>17</v>
      </c>
      <c r="K13" s="76" t="s">
        <v>41</v>
      </c>
      <c r="L13" s="80" t="s">
        <v>44</v>
      </c>
      <c r="M13" s="80"/>
      <c r="N13" s="80"/>
      <c r="O13" s="80"/>
      <c r="P13" s="80" t="s">
        <v>100</v>
      </c>
      <c r="Q13" s="76" t="s">
        <v>19</v>
      </c>
    </row>
    <row r="14" spans="1:17" ht="15.75" customHeight="1" x14ac:dyDescent="0.25">
      <c r="A14">
        <v>22</v>
      </c>
      <c r="B14" s="80" t="s">
        <v>98</v>
      </c>
      <c r="C14" s="80" t="s">
        <v>99</v>
      </c>
      <c r="D14" s="80">
        <v>85</v>
      </c>
      <c r="E14" s="80"/>
      <c r="F14" s="91">
        <v>45138</v>
      </c>
      <c r="G14" s="80"/>
      <c r="H14" s="80" t="s">
        <v>16</v>
      </c>
      <c r="I14" s="80"/>
      <c r="J14" s="80" t="s">
        <v>17</v>
      </c>
      <c r="K14" s="76" t="s">
        <v>41</v>
      </c>
      <c r="L14" s="80" t="s">
        <v>44</v>
      </c>
      <c r="M14" s="80"/>
      <c r="N14" s="80"/>
      <c r="O14" s="80"/>
      <c r="P14" s="80" t="s">
        <v>101</v>
      </c>
      <c r="Q14" s="76" t="s">
        <v>19</v>
      </c>
    </row>
    <row r="15" spans="1:17" ht="15.75" customHeight="1" x14ac:dyDescent="0.25">
      <c r="A15">
        <v>23</v>
      </c>
      <c r="B15" s="16" t="s">
        <v>102</v>
      </c>
      <c r="C15" s="80" t="s">
        <v>106</v>
      </c>
      <c r="D15" s="80">
        <v>68</v>
      </c>
      <c r="E15" s="80"/>
      <c r="F15" s="91">
        <v>45140</v>
      </c>
      <c r="G15" s="80"/>
      <c r="H15" s="80" t="s">
        <v>22</v>
      </c>
      <c r="I15" s="80"/>
      <c r="J15" s="80" t="s">
        <v>17</v>
      </c>
      <c r="K15" s="76" t="s">
        <v>41</v>
      </c>
      <c r="L15" s="80" t="s">
        <v>27</v>
      </c>
      <c r="M15" s="80"/>
      <c r="N15" s="80"/>
      <c r="O15" s="80"/>
      <c r="P15" s="80" t="s">
        <v>107</v>
      </c>
      <c r="Q15" s="76" t="s">
        <v>19</v>
      </c>
    </row>
    <row r="16" spans="1:17" ht="15.75" customHeight="1" x14ac:dyDescent="0.25">
      <c r="A16">
        <v>24</v>
      </c>
      <c r="B16" s="16" t="s">
        <v>103</v>
      </c>
      <c r="C16" s="80" t="s">
        <v>104</v>
      </c>
      <c r="D16" s="80">
        <v>82</v>
      </c>
      <c r="E16" s="80"/>
      <c r="F16" s="91">
        <v>45140</v>
      </c>
      <c r="G16" s="80"/>
      <c r="H16" s="80" t="s">
        <v>22</v>
      </c>
      <c r="I16" s="80"/>
      <c r="J16" s="80" t="s">
        <v>17</v>
      </c>
      <c r="K16" s="76" t="s">
        <v>41</v>
      </c>
      <c r="L16" s="80" t="s">
        <v>27</v>
      </c>
      <c r="M16" s="80"/>
      <c r="N16" s="80"/>
      <c r="O16" s="80"/>
      <c r="P16" s="80" t="s">
        <v>105</v>
      </c>
      <c r="Q16" s="76" t="s">
        <v>19</v>
      </c>
    </row>
    <row r="17" spans="1:17" ht="15.75" customHeight="1" x14ac:dyDescent="0.25">
      <c r="A17">
        <v>25</v>
      </c>
      <c r="B17" s="80" t="s">
        <v>109</v>
      </c>
      <c r="C17" s="80" t="s">
        <v>110</v>
      </c>
      <c r="D17" s="80">
        <v>56</v>
      </c>
      <c r="E17" s="80"/>
      <c r="F17" s="91">
        <v>45140</v>
      </c>
      <c r="G17" s="80"/>
      <c r="H17" s="80" t="s">
        <v>111</v>
      </c>
      <c r="I17" s="80">
        <v>1.5</v>
      </c>
      <c r="J17" s="80" t="s">
        <v>17</v>
      </c>
      <c r="K17" s="76" t="s">
        <v>41</v>
      </c>
      <c r="L17" s="80" t="s">
        <v>44</v>
      </c>
      <c r="M17" s="80"/>
      <c r="N17" s="80"/>
      <c r="O17" s="80"/>
      <c r="P17" s="80" t="s">
        <v>112</v>
      </c>
      <c r="Q17" s="76" t="s">
        <v>19</v>
      </c>
    </row>
    <row r="18" spans="1:17" ht="15.75" customHeight="1" x14ac:dyDescent="0.25">
      <c r="A18">
        <v>26</v>
      </c>
      <c r="B18" s="80" t="s">
        <v>113</v>
      </c>
      <c r="C18" s="80" t="s">
        <v>115</v>
      </c>
      <c r="D18" s="80">
        <v>60</v>
      </c>
      <c r="E18" s="80"/>
      <c r="F18" s="91">
        <v>45141</v>
      </c>
      <c r="G18" s="80"/>
      <c r="H18" s="80" t="s">
        <v>26</v>
      </c>
      <c r="I18" s="80">
        <v>1</v>
      </c>
      <c r="J18" s="80" t="s">
        <v>17</v>
      </c>
      <c r="K18" s="76" t="s">
        <v>41</v>
      </c>
      <c r="L18" s="80" t="s">
        <v>52</v>
      </c>
      <c r="M18" s="80" t="s">
        <v>27</v>
      </c>
      <c r="N18" s="80"/>
      <c r="O18" s="80"/>
      <c r="P18" s="80" t="s">
        <v>116</v>
      </c>
      <c r="Q18" s="76" t="s">
        <v>19</v>
      </c>
    </row>
    <row r="19" spans="1:17" ht="15.75" customHeight="1" x14ac:dyDescent="0.25">
      <c r="A19">
        <v>27</v>
      </c>
      <c r="B19" s="80" t="s">
        <v>117</v>
      </c>
      <c r="C19" s="80" t="s">
        <v>118</v>
      </c>
      <c r="D19" s="80">
        <v>78</v>
      </c>
      <c r="E19" s="80"/>
      <c r="F19" s="91">
        <v>45141</v>
      </c>
      <c r="G19" s="80"/>
      <c r="H19" s="80" t="s">
        <v>16</v>
      </c>
      <c r="I19" s="80">
        <v>1.5</v>
      </c>
      <c r="J19" s="80" t="s">
        <v>39</v>
      </c>
      <c r="K19" s="76" t="s">
        <v>41</v>
      </c>
      <c r="L19" s="80" t="s">
        <v>44</v>
      </c>
      <c r="M19" s="80" t="s">
        <v>27</v>
      </c>
      <c r="N19" s="80"/>
      <c r="O19" s="80"/>
      <c r="P19" s="80" t="s">
        <v>119</v>
      </c>
      <c r="Q19" s="76" t="s">
        <v>19</v>
      </c>
    </row>
    <row r="20" spans="1:17" ht="15.75" customHeight="1" x14ac:dyDescent="0.25">
      <c r="A20">
        <v>28</v>
      </c>
      <c r="B20" s="80" t="s">
        <v>121</v>
      </c>
      <c r="C20" s="80" t="s">
        <v>123</v>
      </c>
      <c r="D20" s="80">
        <v>82</v>
      </c>
      <c r="E20" s="80"/>
      <c r="F20" s="91">
        <v>45142</v>
      </c>
      <c r="G20" s="80"/>
      <c r="H20" s="80" t="s">
        <v>127</v>
      </c>
      <c r="I20" s="80">
        <v>1</v>
      </c>
      <c r="J20" s="80" t="s">
        <v>39</v>
      </c>
      <c r="K20" s="76" t="s">
        <v>41</v>
      </c>
      <c r="L20" s="80" t="s">
        <v>32</v>
      </c>
      <c r="M20" s="80"/>
      <c r="N20" s="80"/>
      <c r="O20" s="80"/>
      <c r="P20" s="80" t="s">
        <v>129</v>
      </c>
      <c r="Q20" s="76" t="s">
        <v>19</v>
      </c>
    </row>
    <row r="21" spans="1:17" ht="15.75" customHeight="1" x14ac:dyDescent="0.25">
      <c r="A21">
        <v>29</v>
      </c>
      <c r="B21" s="80" t="s">
        <v>122</v>
      </c>
      <c r="C21" s="80" t="s">
        <v>124</v>
      </c>
      <c r="D21" s="80">
        <v>71</v>
      </c>
      <c r="E21" s="80"/>
      <c r="F21" s="91">
        <v>45142</v>
      </c>
      <c r="G21" s="80"/>
      <c r="H21" s="80" t="s">
        <v>24</v>
      </c>
      <c r="I21" s="80">
        <v>1</v>
      </c>
      <c r="J21" s="80" t="s">
        <v>17</v>
      </c>
      <c r="K21" s="76" t="s">
        <v>41</v>
      </c>
      <c r="L21" s="80" t="s">
        <v>27</v>
      </c>
      <c r="M21" s="80"/>
      <c r="N21" s="80"/>
      <c r="O21" s="80"/>
      <c r="P21" s="80" t="s">
        <v>130</v>
      </c>
      <c r="Q21" s="76" t="s">
        <v>19</v>
      </c>
    </row>
    <row r="22" spans="1:17" ht="15.75" customHeight="1" x14ac:dyDescent="0.25">
      <c r="A22">
        <v>30</v>
      </c>
      <c r="B22" s="80" t="s">
        <v>125</v>
      </c>
      <c r="C22" s="80" t="s">
        <v>126</v>
      </c>
      <c r="D22" s="80">
        <v>75</v>
      </c>
      <c r="E22" s="80"/>
      <c r="F22" s="91">
        <v>45142</v>
      </c>
      <c r="G22" s="80"/>
      <c r="H22" s="80" t="s">
        <v>24</v>
      </c>
      <c r="I22" s="80">
        <v>1</v>
      </c>
      <c r="J22" s="80" t="s">
        <v>17</v>
      </c>
      <c r="K22" s="76" t="s">
        <v>41</v>
      </c>
      <c r="L22" s="80" t="s">
        <v>27</v>
      </c>
      <c r="M22" s="80" t="s">
        <v>46</v>
      </c>
      <c r="N22" s="80"/>
      <c r="O22" s="80"/>
      <c r="P22" s="80" t="s">
        <v>131</v>
      </c>
      <c r="Q22" s="76" t="s">
        <v>19</v>
      </c>
    </row>
    <row r="23" spans="1:17" ht="15.75" customHeight="1" x14ac:dyDescent="0.25">
      <c r="A23">
        <v>31</v>
      </c>
      <c r="B23" s="80" t="s">
        <v>132</v>
      </c>
      <c r="C23" s="80" t="s">
        <v>133</v>
      </c>
      <c r="D23" s="80">
        <v>29</v>
      </c>
      <c r="E23" s="80"/>
      <c r="F23" s="91">
        <v>45142</v>
      </c>
      <c r="G23" s="80"/>
      <c r="H23" s="80" t="s">
        <v>26</v>
      </c>
      <c r="I23" s="80">
        <v>0.75</v>
      </c>
      <c r="J23" s="80" t="s">
        <v>17</v>
      </c>
      <c r="K23" s="76" t="s">
        <v>41</v>
      </c>
      <c r="L23" s="80"/>
      <c r="M23" s="80"/>
      <c r="N23" s="80" t="s">
        <v>25</v>
      </c>
      <c r="O23" s="80"/>
      <c r="P23" s="80" t="s">
        <v>128</v>
      </c>
      <c r="Q23" s="76" t="s">
        <v>19</v>
      </c>
    </row>
    <row r="24" spans="1:17" ht="15.75" customHeight="1" x14ac:dyDescent="0.25">
      <c r="A24">
        <v>32</v>
      </c>
      <c r="B24" s="80" t="s">
        <v>134</v>
      </c>
      <c r="C24" s="80" t="s">
        <v>135</v>
      </c>
      <c r="D24" s="80">
        <v>42</v>
      </c>
      <c r="E24" s="80"/>
      <c r="F24" s="91">
        <v>45143</v>
      </c>
      <c r="G24" s="80"/>
      <c r="H24" s="80" t="s">
        <v>22</v>
      </c>
      <c r="I24" s="80">
        <v>0.75</v>
      </c>
      <c r="J24" s="80" t="s">
        <v>17</v>
      </c>
      <c r="K24" s="76" t="s">
        <v>41</v>
      </c>
      <c r="L24" s="80"/>
      <c r="M24" s="80"/>
      <c r="N24" s="80" t="s">
        <v>25</v>
      </c>
      <c r="O24" s="80"/>
      <c r="P24" s="80" t="s">
        <v>58</v>
      </c>
      <c r="Q24" s="76" t="s">
        <v>19</v>
      </c>
    </row>
    <row r="25" spans="1:17" ht="15.75" customHeight="1" x14ac:dyDescent="0.25">
      <c r="A25">
        <v>33</v>
      </c>
      <c r="B25" s="80" t="s">
        <v>136</v>
      </c>
      <c r="C25" s="80" t="s">
        <v>138</v>
      </c>
      <c r="D25" s="80">
        <v>29</v>
      </c>
      <c r="E25" s="80"/>
      <c r="F25" s="91">
        <v>45145</v>
      </c>
      <c r="G25" s="80"/>
      <c r="H25" s="80" t="s">
        <v>22</v>
      </c>
      <c r="I25" s="80">
        <v>0.75</v>
      </c>
      <c r="J25" s="80" t="s">
        <v>17</v>
      </c>
      <c r="K25" s="76" t="s">
        <v>41</v>
      </c>
      <c r="L25" s="80"/>
      <c r="M25" s="80"/>
      <c r="N25" s="80" t="s">
        <v>25</v>
      </c>
      <c r="O25" s="80"/>
      <c r="P25" s="80" t="s">
        <v>94</v>
      </c>
      <c r="Q25" s="76" t="s">
        <v>19</v>
      </c>
    </row>
    <row r="26" spans="1:17" ht="15.75" customHeight="1" x14ac:dyDescent="0.25">
      <c r="A26">
        <v>34</v>
      </c>
      <c r="B26" s="80" t="s">
        <v>137</v>
      </c>
      <c r="C26" s="80" t="s">
        <v>139</v>
      </c>
      <c r="D26" s="80">
        <v>49</v>
      </c>
      <c r="E26" s="80"/>
      <c r="F26" s="91">
        <v>45145</v>
      </c>
      <c r="G26" s="80"/>
      <c r="H26" s="80" t="s">
        <v>127</v>
      </c>
      <c r="I26" s="80"/>
      <c r="J26" s="80" t="s">
        <v>39</v>
      </c>
      <c r="K26" s="76" t="s">
        <v>41</v>
      </c>
      <c r="L26" s="80" t="s">
        <v>44</v>
      </c>
      <c r="M26" s="80"/>
      <c r="N26" s="80" t="s">
        <v>69</v>
      </c>
      <c r="O26" s="80"/>
      <c r="P26" s="80" t="s">
        <v>140</v>
      </c>
      <c r="Q26" s="76" t="s">
        <v>19</v>
      </c>
    </row>
    <row r="27" spans="1:17" ht="15.75" customHeight="1" x14ac:dyDescent="0.25">
      <c r="A27">
        <v>35</v>
      </c>
      <c r="B27" s="80" t="s">
        <v>141</v>
      </c>
      <c r="C27" s="80" t="s">
        <v>142</v>
      </c>
      <c r="D27" s="80">
        <v>74</v>
      </c>
      <c r="E27" s="80"/>
      <c r="F27" s="91">
        <v>45145</v>
      </c>
      <c r="G27" s="80"/>
      <c r="H27" s="80" t="s">
        <v>26</v>
      </c>
      <c r="I27" s="80"/>
      <c r="J27" s="80" t="s">
        <v>39</v>
      </c>
      <c r="K27" s="76" t="s">
        <v>41</v>
      </c>
      <c r="L27" s="80"/>
      <c r="M27" s="80"/>
      <c r="N27" s="80" t="s">
        <v>25</v>
      </c>
      <c r="O27" s="80"/>
      <c r="P27" s="80" t="s">
        <v>74</v>
      </c>
      <c r="Q27" s="76" t="s">
        <v>19</v>
      </c>
    </row>
    <row r="28" spans="1:17" ht="15.75" customHeight="1" x14ac:dyDescent="0.25">
      <c r="A28">
        <v>36</v>
      </c>
      <c r="B28" s="80" t="s">
        <v>143</v>
      </c>
      <c r="C28" s="80" t="s">
        <v>144</v>
      </c>
      <c r="D28" s="80">
        <v>32</v>
      </c>
      <c r="E28" s="80"/>
      <c r="F28" s="91">
        <v>45145</v>
      </c>
      <c r="G28" s="80"/>
      <c r="H28" s="80" t="s">
        <v>22</v>
      </c>
      <c r="I28" s="80"/>
      <c r="J28" s="80" t="s">
        <v>17</v>
      </c>
      <c r="K28" s="76" t="s">
        <v>41</v>
      </c>
      <c r="L28" s="80"/>
      <c r="M28" s="80"/>
      <c r="N28" s="80"/>
      <c r="O28" s="80" t="s">
        <v>25</v>
      </c>
      <c r="P28" s="80" t="s">
        <v>145</v>
      </c>
      <c r="Q28" s="76" t="s">
        <v>19</v>
      </c>
    </row>
    <row r="29" spans="1:17" ht="15.75" customHeight="1" x14ac:dyDescent="0.25">
      <c r="B29" s="80" t="s">
        <v>146</v>
      </c>
      <c r="C29" s="80" t="s">
        <v>147</v>
      </c>
      <c r="D29" s="80">
        <v>88</v>
      </c>
      <c r="E29" s="80"/>
      <c r="F29" s="91">
        <v>45147</v>
      </c>
      <c r="G29" s="80"/>
      <c r="H29" s="80" t="s">
        <v>26</v>
      </c>
      <c r="I29" s="80"/>
      <c r="J29" s="80" t="s">
        <v>17</v>
      </c>
      <c r="K29" s="76" t="s">
        <v>41</v>
      </c>
      <c r="L29" s="80" t="s">
        <v>27</v>
      </c>
      <c r="M29" s="80" t="s">
        <v>52</v>
      </c>
      <c r="N29" s="80"/>
      <c r="O29" s="80"/>
      <c r="P29" s="80" t="s">
        <v>148</v>
      </c>
      <c r="Q29" s="80" t="s">
        <v>19</v>
      </c>
    </row>
    <row r="30" spans="1:17" ht="15.75" customHeight="1" x14ac:dyDescent="0.25">
      <c r="B30" s="80" t="s">
        <v>149</v>
      </c>
      <c r="C30" s="80" t="s">
        <v>150</v>
      </c>
      <c r="D30" s="80">
        <v>73</v>
      </c>
      <c r="E30" s="80"/>
      <c r="F30" s="91">
        <v>45146</v>
      </c>
      <c r="G30" s="80"/>
      <c r="H30" s="80" t="s">
        <v>22</v>
      </c>
      <c r="I30" s="80"/>
      <c r="J30" s="80" t="s">
        <v>39</v>
      </c>
      <c r="K30" s="76" t="s">
        <v>41</v>
      </c>
      <c r="L30" s="80" t="s">
        <v>32</v>
      </c>
      <c r="M30" s="80"/>
      <c r="N30" s="80" t="s">
        <v>25</v>
      </c>
      <c r="O30" s="80"/>
      <c r="P30" s="80" t="s">
        <v>151</v>
      </c>
      <c r="Q30" s="80" t="s">
        <v>19</v>
      </c>
    </row>
    <row r="31" spans="1:17" ht="15.75" customHeight="1" x14ac:dyDescent="0.25">
      <c r="B31" s="80" t="s">
        <v>152</v>
      </c>
      <c r="C31" s="80" t="s">
        <v>153</v>
      </c>
      <c r="D31" s="80">
        <v>60</v>
      </c>
      <c r="E31" s="80"/>
      <c r="F31" s="91">
        <v>45147</v>
      </c>
      <c r="G31" s="80"/>
      <c r="H31" s="80" t="s">
        <v>22</v>
      </c>
      <c r="I31" s="80"/>
      <c r="J31" s="80" t="s">
        <v>39</v>
      </c>
      <c r="K31" s="76" t="s">
        <v>41</v>
      </c>
      <c r="L31" s="80" t="s">
        <v>44</v>
      </c>
      <c r="M31" s="80" t="s">
        <v>27</v>
      </c>
      <c r="N31" s="80"/>
      <c r="O31" s="80"/>
      <c r="P31" s="80" t="s">
        <v>76</v>
      </c>
      <c r="Q31" s="80" t="s">
        <v>19</v>
      </c>
    </row>
    <row r="32" spans="1:17" ht="15.75" customHeight="1" x14ac:dyDescent="0.25">
      <c r="B32" s="80" t="s">
        <v>156</v>
      </c>
      <c r="C32" s="80" t="s">
        <v>157</v>
      </c>
      <c r="D32" s="80">
        <v>92</v>
      </c>
      <c r="E32" s="80"/>
      <c r="F32" s="91">
        <v>45148</v>
      </c>
      <c r="G32" s="80"/>
      <c r="H32" s="80" t="s">
        <v>22</v>
      </c>
      <c r="I32" s="80"/>
      <c r="J32" s="80" t="s">
        <v>17</v>
      </c>
      <c r="K32" s="76" t="s">
        <v>41</v>
      </c>
      <c r="L32" s="80" t="s">
        <v>52</v>
      </c>
      <c r="M32" s="80"/>
      <c r="N32" s="80"/>
      <c r="O32" s="80"/>
      <c r="P32" s="80" t="s">
        <v>158</v>
      </c>
      <c r="Q32" s="80" t="s">
        <v>19</v>
      </c>
    </row>
    <row r="33" spans="2:17" ht="15.75" customHeight="1" x14ac:dyDescent="0.25">
      <c r="B33" s="80" t="s">
        <v>154</v>
      </c>
      <c r="C33" s="80" t="s">
        <v>155</v>
      </c>
      <c r="D33" s="80">
        <v>31</v>
      </c>
      <c r="E33" s="80"/>
      <c r="F33" s="91">
        <v>45149</v>
      </c>
      <c r="G33" s="80"/>
      <c r="H33" s="80" t="s">
        <v>22</v>
      </c>
      <c r="I33" s="80"/>
      <c r="J33" s="80" t="s">
        <v>17</v>
      </c>
      <c r="K33" s="76" t="s">
        <v>41</v>
      </c>
      <c r="L33" s="80"/>
      <c r="M33" s="80"/>
      <c r="N33" s="80" t="s">
        <v>25</v>
      </c>
      <c r="O33" s="80"/>
      <c r="P33" s="80" t="s">
        <v>58</v>
      </c>
      <c r="Q33" s="80" t="s">
        <v>19</v>
      </c>
    </row>
    <row r="34" spans="2:17" ht="15.75" customHeight="1" x14ac:dyDescent="0.25">
      <c r="B34" s="80" t="s">
        <v>160</v>
      </c>
      <c r="C34" s="80" t="s">
        <v>161</v>
      </c>
      <c r="D34" s="80">
        <v>58</v>
      </c>
      <c r="E34" s="80"/>
      <c r="F34" s="91">
        <v>45150</v>
      </c>
      <c r="G34" s="80"/>
      <c r="H34" s="80" t="s">
        <v>26</v>
      </c>
      <c r="I34" s="80"/>
      <c r="J34" s="80" t="s">
        <v>17</v>
      </c>
      <c r="K34" s="76" t="s">
        <v>41</v>
      </c>
      <c r="L34" s="80" t="s">
        <v>27</v>
      </c>
      <c r="M34" s="80" t="s">
        <v>52</v>
      </c>
      <c r="N34" s="80"/>
      <c r="O34" s="80"/>
      <c r="P34" s="80" t="s">
        <v>162</v>
      </c>
      <c r="Q34" s="80" t="s">
        <v>19</v>
      </c>
    </row>
    <row r="35" spans="2:17" ht="15.75" customHeight="1" x14ac:dyDescent="0.25">
      <c r="B35" s="80" t="s">
        <v>163</v>
      </c>
      <c r="C35" s="80" t="s">
        <v>164</v>
      </c>
      <c r="D35" s="80">
        <v>85</v>
      </c>
      <c r="E35" s="80"/>
      <c r="F35" s="91">
        <v>45152</v>
      </c>
      <c r="G35" s="80"/>
      <c r="H35" s="80" t="s">
        <v>26</v>
      </c>
      <c r="I35" s="80"/>
      <c r="J35" s="80" t="s">
        <v>17</v>
      </c>
      <c r="K35" s="76" t="s">
        <v>41</v>
      </c>
      <c r="L35" s="80" t="s">
        <v>46</v>
      </c>
      <c r="M35" s="80" t="s">
        <v>27</v>
      </c>
      <c r="N35" s="80" t="s">
        <v>52</v>
      </c>
      <c r="O35" s="80"/>
      <c r="P35" s="80" t="s">
        <v>165</v>
      </c>
      <c r="Q35" s="80" t="s">
        <v>19</v>
      </c>
    </row>
    <row r="36" spans="2:17" ht="15.75" customHeight="1" x14ac:dyDescent="0.25">
      <c r="B36" s="80" t="s">
        <v>166</v>
      </c>
      <c r="C36" s="80" t="s">
        <v>167</v>
      </c>
      <c r="D36" s="80">
        <v>86</v>
      </c>
      <c r="E36" s="80"/>
      <c r="F36" s="91">
        <v>45153</v>
      </c>
      <c r="G36" s="80"/>
      <c r="H36" s="80" t="s">
        <v>22</v>
      </c>
      <c r="I36" s="80"/>
      <c r="J36" s="80" t="s">
        <v>39</v>
      </c>
      <c r="K36" s="76" t="s">
        <v>41</v>
      </c>
      <c r="L36" s="80"/>
      <c r="M36" s="80"/>
      <c r="N36" s="80" t="s">
        <v>25</v>
      </c>
      <c r="O36" s="80"/>
      <c r="P36" s="80" t="s">
        <v>68</v>
      </c>
      <c r="Q36" s="80" t="s">
        <v>19</v>
      </c>
    </row>
    <row r="37" spans="2:17" ht="15.75" customHeight="1" x14ac:dyDescent="0.25">
      <c r="B37" s="80" t="s">
        <v>168</v>
      </c>
      <c r="C37" s="80" t="s">
        <v>169</v>
      </c>
      <c r="D37" s="80">
        <v>67</v>
      </c>
      <c r="E37" s="80"/>
      <c r="F37" s="91">
        <v>45154</v>
      </c>
      <c r="G37" s="80"/>
      <c r="H37" s="80" t="s">
        <v>22</v>
      </c>
      <c r="I37" s="80"/>
      <c r="J37" s="80" t="s">
        <v>39</v>
      </c>
      <c r="K37" s="76" t="s">
        <v>41</v>
      </c>
      <c r="L37" s="80"/>
      <c r="M37" s="80"/>
      <c r="N37" s="80" t="s">
        <v>25</v>
      </c>
      <c r="O37" s="80"/>
      <c r="P37" s="80" t="s">
        <v>176</v>
      </c>
      <c r="Q37" s="80" t="s">
        <v>19</v>
      </c>
    </row>
    <row r="38" spans="2:17" ht="15.75" customHeight="1" x14ac:dyDescent="0.25">
      <c r="B38" s="80" t="s">
        <v>170</v>
      </c>
      <c r="C38" s="80" t="s">
        <v>171</v>
      </c>
      <c r="D38" s="80">
        <v>84</v>
      </c>
      <c r="E38" s="80"/>
      <c r="F38" s="91">
        <v>45154</v>
      </c>
      <c r="G38" s="80"/>
      <c r="H38" s="80" t="s">
        <v>97</v>
      </c>
      <c r="I38" s="80"/>
      <c r="J38" s="80" t="s">
        <v>17</v>
      </c>
      <c r="K38" s="76" t="s">
        <v>41</v>
      </c>
      <c r="L38" s="80" t="s">
        <v>44</v>
      </c>
      <c r="M38" s="80"/>
      <c r="N38" s="80"/>
      <c r="O38" s="80"/>
      <c r="P38" s="80" t="s">
        <v>172</v>
      </c>
      <c r="Q38" s="80" t="s">
        <v>19</v>
      </c>
    </row>
    <row r="39" spans="2:17" ht="15.75" customHeight="1" x14ac:dyDescent="0.25">
      <c r="B39" s="80" t="s">
        <v>173</v>
      </c>
      <c r="C39" s="80" t="s">
        <v>174</v>
      </c>
      <c r="D39" s="80">
        <v>84</v>
      </c>
      <c r="E39" s="80"/>
      <c r="F39" s="91">
        <v>45154</v>
      </c>
      <c r="G39" s="80"/>
      <c r="H39" s="80" t="s">
        <v>26</v>
      </c>
      <c r="I39" s="80"/>
      <c r="J39" s="80" t="s">
        <v>17</v>
      </c>
      <c r="K39" s="76" t="s">
        <v>41</v>
      </c>
      <c r="L39" s="80" t="s">
        <v>32</v>
      </c>
      <c r="M39" s="80"/>
      <c r="N39" s="80"/>
      <c r="O39" s="80"/>
      <c r="P39" s="80" t="s">
        <v>175</v>
      </c>
      <c r="Q39" s="80" t="s">
        <v>19</v>
      </c>
    </row>
    <row r="40" spans="2:17" ht="15.75" customHeight="1" x14ac:dyDescent="0.25">
      <c r="B40" s="80" t="s">
        <v>177</v>
      </c>
      <c r="C40" s="80" t="s">
        <v>178</v>
      </c>
      <c r="D40" s="80">
        <v>94</v>
      </c>
      <c r="E40" s="80"/>
      <c r="F40" s="91">
        <v>45155</v>
      </c>
      <c r="G40" s="80"/>
      <c r="H40" s="80" t="s">
        <v>179</v>
      </c>
      <c r="I40" s="80"/>
      <c r="J40" s="80" t="s">
        <v>17</v>
      </c>
      <c r="K40" s="76" t="s">
        <v>41</v>
      </c>
      <c r="L40" s="80" t="s">
        <v>27</v>
      </c>
      <c r="M40" s="80"/>
      <c r="N40" s="80"/>
      <c r="O40" s="80"/>
      <c r="P40" s="80" t="s">
        <v>119</v>
      </c>
      <c r="Q40" s="80" t="s">
        <v>19</v>
      </c>
    </row>
    <row r="41" spans="2:17" ht="15.75" customHeight="1" x14ac:dyDescent="0.25">
      <c r="B41" s="80" t="s">
        <v>180</v>
      </c>
      <c r="C41" s="80" t="s">
        <v>182</v>
      </c>
      <c r="D41" s="80">
        <v>85</v>
      </c>
      <c r="E41" s="80"/>
      <c r="F41" s="91">
        <v>45156</v>
      </c>
      <c r="G41" s="80"/>
      <c r="H41" s="80" t="s">
        <v>22</v>
      </c>
      <c r="I41" s="80"/>
      <c r="J41" s="80" t="s">
        <v>39</v>
      </c>
      <c r="K41" s="76" t="s">
        <v>41</v>
      </c>
      <c r="L41" s="80" t="s">
        <v>46</v>
      </c>
      <c r="M41" s="80"/>
      <c r="N41" s="80" t="s">
        <v>25</v>
      </c>
      <c r="O41" s="80"/>
      <c r="P41" s="80" t="s">
        <v>189</v>
      </c>
      <c r="Q41" s="80" t="s">
        <v>19</v>
      </c>
    </row>
    <row r="42" spans="2:17" ht="15.75" customHeight="1" x14ac:dyDescent="0.25">
      <c r="B42" s="80" t="s">
        <v>181</v>
      </c>
      <c r="C42" s="80" t="s">
        <v>183</v>
      </c>
      <c r="D42" s="80">
        <v>86</v>
      </c>
      <c r="E42" s="80"/>
      <c r="F42" s="91">
        <v>45156</v>
      </c>
      <c r="G42" s="80"/>
      <c r="H42" s="80" t="s">
        <v>16</v>
      </c>
      <c r="I42" s="80"/>
      <c r="J42" s="80" t="s">
        <v>39</v>
      </c>
      <c r="K42" s="76" t="s">
        <v>41</v>
      </c>
      <c r="L42" s="80" t="s">
        <v>44</v>
      </c>
      <c r="M42" s="80" t="s">
        <v>27</v>
      </c>
      <c r="N42" s="80"/>
      <c r="O42" s="80"/>
      <c r="P42" s="80" t="s">
        <v>119</v>
      </c>
      <c r="Q42" s="80" t="s">
        <v>19</v>
      </c>
    </row>
    <row r="43" spans="2:17" ht="15.75" customHeight="1" x14ac:dyDescent="0.25">
      <c r="B43" s="80" t="s">
        <v>184</v>
      </c>
      <c r="C43" s="80" t="s">
        <v>185</v>
      </c>
      <c r="D43" s="80">
        <v>59</v>
      </c>
      <c r="E43" s="80"/>
      <c r="F43" s="91">
        <v>45157</v>
      </c>
      <c r="G43" s="80"/>
      <c r="H43" s="80" t="s">
        <v>26</v>
      </c>
      <c r="I43" s="80"/>
      <c r="J43" s="80" t="s">
        <v>188</v>
      </c>
      <c r="K43" s="76" t="s">
        <v>41</v>
      </c>
      <c r="L43" s="80" t="s">
        <v>27</v>
      </c>
      <c r="M43" s="80" t="s">
        <v>52</v>
      </c>
      <c r="N43" s="80"/>
      <c r="O43" s="80"/>
      <c r="P43" s="80" t="s">
        <v>190</v>
      </c>
      <c r="Q43" s="80" t="s">
        <v>19</v>
      </c>
    </row>
    <row r="44" spans="2:17" ht="15.75" customHeight="1" x14ac:dyDescent="0.25">
      <c r="B44" s="80" t="s">
        <v>186</v>
      </c>
      <c r="C44" s="80" t="s">
        <v>187</v>
      </c>
      <c r="D44" s="80">
        <v>52</v>
      </c>
      <c r="E44" s="80"/>
      <c r="F44" s="91">
        <v>45157</v>
      </c>
      <c r="G44" s="80"/>
      <c r="H44" s="80" t="s">
        <v>26</v>
      </c>
      <c r="I44" s="80"/>
      <c r="J44" s="80" t="s">
        <v>17</v>
      </c>
      <c r="K44" s="76" t="s">
        <v>41</v>
      </c>
      <c r="L44" s="80" t="s">
        <v>27</v>
      </c>
      <c r="M44" s="80" t="s">
        <v>52</v>
      </c>
      <c r="N44" s="80"/>
      <c r="O44" s="80"/>
      <c r="P44" s="80" t="s">
        <v>148</v>
      </c>
      <c r="Q44" s="80" t="s">
        <v>19</v>
      </c>
    </row>
    <row r="45" spans="2:17" ht="15.75" customHeight="1" x14ac:dyDescent="0.25">
      <c r="B45" s="80"/>
      <c r="C45" s="80"/>
      <c r="D45" s="80"/>
      <c r="E45" s="80"/>
      <c r="F45" s="91"/>
      <c r="G45" s="80"/>
      <c r="H45" s="80"/>
      <c r="I45" s="80"/>
      <c r="J45" s="80"/>
      <c r="K45" s="76"/>
      <c r="L45" s="80"/>
      <c r="M45" s="80"/>
      <c r="N45" s="80"/>
      <c r="O45" s="80"/>
      <c r="P45" s="80"/>
      <c r="Q45" s="80"/>
    </row>
    <row r="46" spans="2:17" ht="15.75" customHeight="1" x14ac:dyDescent="0.25">
      <c r="B46" s="80"/>
      <c r="C46" s="80"/>
      <c r="D46" s="80"/>
      <c r="E46" s="80"/>
      <c r="F46" s="91"/>
      <c r="G46" s="80"/>
      <c r="H46" s="80"/>
      <c r="I46" s="80"/>
      <c r="J46" s="80"/>
      <c r="K46" s="76"/>
      <c r="L46" s="80"/>
      <c r="M46" s="80"/>
      <c r="N46" s="80"/>
      <c r="O46" s="80"/>
      <c r="P46" s="80"/>
      <c r="Q46" s="80"/>
    </row>
    <row r="47" spans="2:17" ht="15.75" customHeight="1" x14ac:dyDescent="0.25">
      <c r="B47" s="80"/>
      <c r="C47" s="80"/>
      <c r="D47" s="80"/>
      <c r="E47" s="80"/>
      <c r="F47" s="91"/>
      <c r="G47" s="80"/>
      <c r="H47" s="80"/>
      <c r="I47" s="80"/>
      <c r="J47" s="80"/>
      <c r="K47" s="76"/>
      <c r="L47" s="80"/>
      <c r="M47" s="80"/>
      <c r="N47" s="80"/>
      <c r="O47" s="80"/>
      <c r="P47" s="80"/>
      <c r="Q47" s="80"/>
    </row>
    <row r="48" spans="2:17" ht="15.75" customHeight="1" x14ac:dyDescent="0.25">
      <c r="B48" s="80"/>
      <c r="C48" s="80"/>
      <c r="D48" s="80"/>
      <c r="E48" s="80"/>
      <c r="F48" s="91"/>
      <c r="G48" s="80"/>
      <c r="H48" s="80"/>
      <c r="I48" s="80"/>
      <c r="J48" s="80"/>
      <c r="K48" s="76"/>
      <c r="L48" s="80"/>
      <c r="M48" s="80"/>
      <c r="N48" s="80"/>
      <c r="O48" s="80"/>
      <c r="P48" s="80"/>
      <c r="Q48" s="80"/>
    </row>
    <row r="49" spans="2:17" ht="15.75" customHeight="1" x14ac:dyDescent="0.25">
      <c r="B49" s="80"/>
      <c r="C49" s="80"/>
      <c r="D49" s="80"/>
      <c r="E49" s="80"/>
      <c r="F49" s="91"/>
      <c r="G49" s="80"/>
      <c r="H49" s="80"/>
      <c r="I49" s="80"/>
      <c r="J49" s="80"/>
      <c r="K49" s="76"/>
      <c r="L49" s="80"/>
      <c r="M49" s="80"/>
      <c r="N49" s="80"/>
      <c r="O49" s="80"/>
      <c r="P49" s="80"/>
      <c r="Q49" s="80"/>
    </row>
    <row r="50" spans="2:17" ht="15.75" customHeight="1" x14ac:dyDescent="0.25">
      <c r="B50" s="80"/>
      <c r="C50" s="80"/>
      <c r="D50" s="80"/>
      <c r="E50" s="80"/>
      <c r="F50" s="91"/>
      <c r="G50" s="80"/>
      <c r="H50" s="80"/>
      <c r="I50" s="80"/>
      <c r="J50" s="80"/>
      <c r="K50" s="76"/>
      <c r="L50" s="80"/>
      <c r="M50" s="80"/>
      <c r="N50" s="80"/>
      <c r="O50" s="80"/>
      <c r="P50" s="80"/>
      <c r="Q50" s="80"/>
    </row>
    <row r="51" spans="2:17" ht="15.75" customHeight="1" x14ac:dyDescent="0.25">
      <c r="B51" s="80"/>
      <c r="C51" s="80"/>
      <c r="D51" s="80"/>
      <c r="E51" s="80"/>
      <c r="F51" s="91"/>
      <c r="G51" s="80"/>
      <c r="H51" s="80"/>
      <c r="I51" s="80"/>
      <c r="J51" s="80"/>
      <c r="K51" s="76"/>
      <c r="L51" s="80"/>
      <c r="M51" s="80"/>
      <c r="N51" s="80"/>
      <c r="O51" s="80"/>
      <c r="P51" s="80"/>
      <c r="Q51" s="80"/>
    </row>
    <row r="52" spans="2:17" ht="15.75" customHeight="1" x14ac:dyDescent="0.25">
      <c r="B52" s="80"/>
      <c r="C52" s="80"/>
      <c r="D52" s="80"/>
      <c r="E52" s="80"/>
      <c r="F52" s="91"/>
      <c r="G52" s="80"/>
      <c r="H52" s="80"/>
      <c r="I52" s="80"/>
      <c r="J52" s="80"/>
      <c r="K52" s="76"/>
      <c r="L52" s="80"/>
      <c r="M52" s="80"/>
      <c r="N52" s="80"/>
      <c r="O52" s="80"/>
      <c r="P52" s="80"/>
      <c r="Q52" s="80"/>
    </row>
    <row r="53" spans="2:17" ht="15.75" customHeight="1" x14ac:dyDescent="0.25">
      <c r="B53" s="80"/>
      <c r="C53" s="80"/>
      <c r="D53" s="80"/>
      <c r="E53" s="80"/>
      <c r="F53" s="91"/>
      <c r="G53" s="80"/>
      <c r="H53" s="80"/>
      <c r="I53" s="80"/>
      <c r="J53" s="80"/>
      <c r="K53" s="76"/>
      <c r="L53" s="80"/>
      <c r="M53" s="80"/>
      <c r="N53" s="80"/>
      <c r="O53" s="80"/>
      <c r="P53" s="80"/>
      <c r="Q53" s="80"/>
    </row>
    <row r="54" spans="2:17" ht="15.75" customHeight="1" x14ac:dyDescent="0.25">
      <c r="B54" s="28"/>
      <c r="C54" s="28"/>
      <c r="D54" s="28"/>
      <c r="E54" s="28"/>
      <c r="F54" s="59"/>
      <c r="G54" s="28"/>
      <c r="H54" s="28"/>
      <c r="I54" s="28"/>
      <c r="J54" s="28"/>
      <c r="K54" s="5" t="s">
        <v>41</v>
      </c>
      <c r="L54" s="28"/>
      <c r="M54" s="28"/>
      <c r="N54" s="28"/>
      <c r="O54" s="28"/>
      <c r="P54" s="28"/>
      <c r="Q54" s="64"/>
    </row>
    <row r="55" spans="2:17" ht="15.75" customHeight="1" x14ac:dyDescent="0.25"/>
    <row r="56" spans="2:17" ht="15.75" customHeight="1" x14ac:dyDescent="0.25"/>
    <row r="57" spans="2:17" ht="15.75" customHeight="1" x14ac:dyDescent="0.25"/>
    <row r="58" spans="2:17" ht="15.75" customHeight="1" x14ac:dyDescent="0.25"/>
    <row r="59" spans="2:17" ht="15.75" customHeight="1" x14ac:dyDescent="0.25"/>
    <row r="60" spans="2:17" ht="15.75" customHeight="1" x14ac:dyDescent="0.25"/>
    <row r="61" spans="2:17" ht="15.75" customHeight="1" x14ac:dyDescent="0.25"/>
    <row r="62" spans="2:17" ht="15.75" customHeight="1" x14ac:dyDescent="0.25"/>
    <row r="63" spans="2:17" ht="15.75" customHeight="1" x14ac:dyDescent="0.25"/>
    <row r="64" spans="2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</sheetData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8"/>
  <sheetViews>
    <sheetView zoomScale="70" zoomScaleNormal="70" workbookViewId="0">
      <selection activeCell="C5" sqref="C5:R5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style="98" customWidth="1"/>
    <col min="8" max="8" width="11.71093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7" customWidth="1"/>
    <col min="19" max="19" width="22.140625" customWidth="1"/>
    <col min="20" max="25" width="10.7109375" customWidth="1"/>
  </cols>
  <sheetData>
    <row r="1" spans="1:25" ht="28.5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25" ht="14.25" customHeight="1" x14ac:dyDescent="0.25">
      <c r="A2" s="28">
        <v>1</v>
      </c>
      <c r="B2" s="21">
        <v>45139</v>
      </c>
      <c r="C2" s="80" t="s">
        <v>56</v>
      </c>
      <c r="D2" s="80" t="s">
        <v>57</v>
      </c>
      <c r="E2" s="80">
        <v>78</v>
      </c>
      <c r="F2" s="77" t="s">
        <v>30</v>
      </c>
      <c r="G2" s="81">
        <v>45120</v>
      </c>
      <c r="H2" s="82">
        <f>DAYS360(G2,B2)</f>
        <v>18</v>
      </c>
      <c r="I2" s="80" t="s">
        <v>26</v>
      </c>
      <c r="J2" s="80">
        <v>1</v>
      </c>
      <c r="K2" s="80" t="s">
        <v>17</v>
      </c>
      <c r="L2" s="76" t="s">
        <v>41</v>
      </c>
      <c r="M2" s="80" t="s">
        <v>46</v>
      </c>
      <c r="N2" s="80"/>
      <c r="O2" s="80"/>
      <c r="P2" s="80"/>
      <c r="Q2" s="80" t="s">
        <v>58</v>
      </c>
      <c r="R2" s="76" t="s">
        <v>19</v>
      </c>
      <c r="S2" s="19"/>
      <c r="T2" s="11"/>
      <c r="U2" s="11"/>
      <c r="V2" s="11"/>
      <c r="W2" s="11"/>
      <c r="X2" s="11"/>
      <c r="Y2" s="11"/>
    </row>
    <row r="3" spans="1:25" ht="14.25" customHeight="1" x14ac:dyDescent="0.25">
      <c r="A3" s="28">
        <v>2</v>
      </c>
      <c r="B3" s="21">
        <v>45139</v>
      </c>
      <c r="C3" s="80" t="s">
        <v>62</v>
      </c>
      <c r="D3" s="80" t="s">
        <v>63</v>
      </c>
      <c r="E3" s="80">
        <v>65</v>
      </c>
      <c r="F3" s="77" t="s">
        <v>30</v>
      </c>
      <c r="G3" s="81">
        <v>45119</v>
      </c>
      <c r="H3" s="82">
        <f t="shared" ref="H3:H18" si="0">DAYS360(G3,B3)</f>
        <v>19</v>
      </c>
      <c r="I3" s="80" t="s">
        <v>26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64</v>
      </c>
      <c r="R3" s="76" t="s">
        <v>19</v>
      </c>
      <c r="S3" s="19"/>
      <c r="T3" s="11"/>
      <c r="U3" s="11"/>
      <c r="V3" s="11"/>
      <c r="W3" s="11"/>
      <c r="X3" s="11"/>
      <c r="Y3" s="11"/>
    </row>
    <row r="4" spans="1:25" ht="14.25" customHeight="1" x14ac:dyDescent="0.25">
      <c r="A4" s="28">
        <v>3</v>
      </c>
      <c r="B4" s="21">
        <v>45139</v>
      </c>
      <c r="C4" s="80" t="s">
        <v>62</v>
      </c>
      <c r="D4" s="80" t="s">
        <v>63</v>
      </c>
      <c r="E4" s="80">
        <v>65</v>
      </c>
      <c r="F4" s="77" t="s">
        <v>30</v>
      </c>
      <c r="G4" s="81">
        <v>45119</v>
      </c>
      <c r="H4" s="82">
        <f t="shared" si="0"/>
        <v>19</v>
      </c>
      <c r="I4" s="80" t="s">
        <v>26</v>
      </c>
      <c r="J4" s="80">
        <v>1</v>
      </c>
      <c r="K4" s="80" t="s">
        <v>17</v>
      </c>
      <c r="L4" s="76" t="s">
        <v>41</v>
      </c>
      <c r="M4" s="80" t="s">
        <v>44</v>
      </c>
      <c r="N4" s="80"/>
      <c r="O4" s="80"/>
      <c r="P4" s="80"/>
      <c r="Q4" s="80" t="s">
        <v>64</v>
      </c>
      <c r="R4" s="76" t="s">
        <v>19</v>
      </c>
      <c r="S4" s="19"/>
      <c r="T4" s="19"/>
      <c r="U4" s="19"/>
      <c r="V4" s="19"/>
      <c r="W4" s="19"/>
      <c r="X4" s="19"/>
      <c r="Y4" s="19"/>
    </row>
    <row r="5" spans="1:25" ht="14.25" customHeight="1" x14ac:dyDescent="0.25">
      <c r="A5" s="28">
        <v>4</v>
      </c>
      <c r="B5" s="21">
        <v>45139</v>
      </c>
      <c r="C5" s="80" t="s">
        <v>86</v>
      </c>
      <c r="D5" s="80" t="s">
        <v>87</v>
      </c>
      <c r="E5" s="80">
        <v>96</v>
      </c>
      <c r="F5" s="77" t="s">
        <v>30</v>
      </c>
      <c r="G5" s="81">
        <v>45133</v>
      </c>
      <c r="H5" s="82">
        <f t="shared" si="0"/>
        <v>5</v>
      </c>
      <c r="I5" s="80" t="s">
        <v>26</v>
      </c>
      <c r="J5" s="80">
        <v>1</v>
      </c>
      <c r="K5" s="80" t="s">
        <v>17</v>
      </c>
      <c r="L5" s="76" t="s">
        <v>41</v>
      </c>
      <c r="M5" s="80"/>
      <c r="N5" s="80"/>
      <c r="O5" s="80" t="s">
        <v>25</v>
      </c>
      <c r="P5" s="80"/>
      <c r="Q5" s="80" t="s">
        <v>88</v>
      </c>
      <c r="R5" s="105" t="s">
        <v>19</v>
      </c>
      <c r="S5" s="19"/>
    </row>
    <row r="6" spans="1:25" ht="14.25" customHeight="1" x14ac:dyDescent="0.25">
      <c r="A6" s="28">
        <v>5</v>
      </c>
      <c r="B6" s="21">
        <v>45139</v>
      </c>
      <c r="C6" s="80" t="s">
        <v>89</v>
      </c>
      <c r="D6" s="80" t="s">
        <v>90</v>
      </c>
      <c r="E6" s="80">
        <v>58</v>
      </c>
      <c r="F6" s="77" t="s">
        <v>30</v>
      </c>
      <c r="G6" s="81">
        <v>45136</v>
      </c>
      <c r="H6" s="82">
        <f t="shared" si="0"/>
        <v>2</v>
      </c>
      <c r="I6" s="80" t="s">
        <v>24</v>
      </c>
      <c r="J6" s="80">
        <v>1</v>
      </c>
      <c r="K6" s="80" t="s">
        <v>17</v>
      </c>
      <c r="L6" s="76" t="s">
        <v>41</v>
      </c>
      <c r="M6" s="80" t="s">
        <v>46</v>
      </c>
      <c r="N6" s="80"/>
      <c r="O6" s="80"/>
      <c r="P6" s="80"/>
      <c r="Q6" s="80" t="s">
        <v>91</v>
      </c>
      <c r="R6" s="80" t="s">
        <v>19</v>
      </c>
      <c r="S6" s="19"/>
      <c r="T6" s="19"/>
      <c r="U6" s="19"/>
      <c r="V6" s="19"/>
      <c r="W6" s="19"/>
      <c r="X6" s="19"/>
      <c r="Y6" s="19"/>
    </row>
    <row r="7" spans="1:25" ht="14.25" customHeight="1" x14ac:dyDescent="0.25">
      <c r="A7" s="28">
        <v>6</v>
      </c>
      <c r="B7" s="21">
        <v>45139</v>
      </c>
      <c r="C7" s="77" t="s">
        <v>50</v>
      </c>
      <c r="D7" s="77" t="s">
        <v>51</v>
      </c>
      <c r="E7" s="77">
        <v>60</v>
      </c>
      <c r="F7" s="77" t="s">
        <v>30</v>
      </c>
      <c r="G7" s="108">
        <v>45117</v>
      </c>
      <c r="H7" s="82">
        <f t="shared" si="0"/>
        <v>21</v>
      </c>
      <c r="I7" s="77" t="s">
        <v>16</v>
      </c>
      <c r="J7" s="77">
        <v>1</v>
      </c>
      <c r="K7" s="77" t="s">
        <v>17</v>
      </c>
      <c r="L7" s="76" t="s">
        <v>41</v>
      </c>
      <c r="M7" s="77" t="s">
        <v>32</v>
      </c>
      <c r="N7" s="77"/>
      <c r="O7" s="77"/>
      <c r="P7" s="88"/>
      <c r="Q7" s="77" t="s">
        <v>18</v>
      </c>
      <c r="R7" s="76" t="s">
        <v>19</v>
      </c>
      <c r="S7" s="19"/>
      <c r="T7" s="19"/>
      <c r="U7" s="19"/>
      <c r="V7" s="19"/>
      <c r="W7" s="19"/>
      <c r="X7" s="19"/>
      <c r="Y7" s="19"/>
    </row>
    <row r="8" spans="1:25" ht="14.25" customHeight="1" x14ac:dyDescent="0.25">
      <c r="A8" s="28">
        <v>7</v>
      </c>
      <c r="B8" s="21">
        <v>45139</v>
      </c>
      <c r="C8" s="83" t="s">
        <v>37</v>
      </c>
      <c r="D8" s="83" t="s">
        <v>38</v>
      </c>
      <c r="E8" s="83">
        <v>32</v>
      </c>
      <c r="F8" s="77" t="s">
        <v>30</v>
      </c>
      <c r="G8" s="109">
        <v>45125</v>
      </c>
      <c r="H8" s="82">
        <f t="shared" si="0"/>
        <v>13</v>
      </c>
      <c r="I8" s="83" t="s">
        <v>24</v>
      </c>
      <c r="J8" s="83">
        <v>0.75</v>
      </c>
      <c r="K8" s="83" t="s">
        <v>39</v>
      </c>
      <c r="L8" s="76" t="s">
        <v>41</v>
      </c>
      <c r="M8" s="83"/>
      <c r="N8" s="83"/>
      <c r="O8" s="83" t="s">
        <v>25</v>
      </c>
      <c r="P8" s="83"/>
      <c r="Q8" s="83" t="s">
        <v>74</v>
      </c>
      <c r="R8" s="76" t="s">
        <v>19</v>
      </c>
      <c r="S8" s="19"/>
      <c r="T8" s="19"/>
      <c r="U8" s="19"/>
      <c r="V8" s="19"/>
      <c r="W8" s="19"/>
      <c r="X8" s="19"/>
      <c r="Y8" s="19"/>
    </row>
    <row r="9" spans="1:25" ht="14.25" customHeight="1" x14ac:dyDescent="0.25">
      <c r="A9" s="28">
        <v>8</v>
      </c>
      <c r="B9" s="21">
        <v>45139</v>
      </c>
      <c r="C9" s="80" t="s">
        <v>70</v>
      </c>
      <c r="D9" s="80" t="s">
        <v>71</v>
      </c>
      <c r="E9" s="80">
        <v>63</v>
      </c>
      <c r="F9" s="77" t="s">
        <v>30</v>
      </c>
      <c r="G9" s="81">
        <v>45124</v>
      </c>
      <c r="H9" s="82">
        <f t="shared" si="0"/>
        <v>14</v>
      </c>
      <c r="I9" s="80" t="s">
        <v>26</v>
      </c>
      <c r="J9" s="80">
        <v>1</v>
      </c>
      <c r="K9" s="80" t="s">
        <v>17</v>
      </c>
      <c r="L9" s="76" t="s">
        <v>41</v>
      </c>
      <c r="M9" s="80" t="s">
        <v>52</v>
      </c>
      <c r="N9" s="80"/>
      <c r="O9" s="80"/>
      <c r="P9" s="80"/>
      <c r="Q9" s="80" t="s">
        <v>72</v>
      </c>
      <c r="R9" s="76" t="s">
        <v>19</v>
      </c>
      <c r="S9" s="19"/>
    </row>
    <row r="10" spans="1:25" ht="14.25" customHeight="1" x14ac:dyDescent="0.25">
      <c r="A10" s="28">
        <v>9</v>
      </c>
      <c r="B10" s="21">
        <v>45139</v>
      </c>
      <c r="C10" s="80" t="s">
        <v>73</v>
      </c>
      <c r="D10" s="80" t="s">
        <v>75</v>
      </c>
      <c r="E10" s="80">
        <v>79</v>
      </c>
      <c r="F10" s="77" t="s">
        <v>30</v>
      </c>
      <c r="G10" s="81">
        <v>45125</v>
      </c>
      <c r="H10" s="82">
        <f t="shared" si="0"/>
        <v>13</v>
      </c>
      <c r="I10" s="80" t="s">
        <v>26</v>
      </c>
      <c r="J10" s="80">
        <v>1</v>
      </c>
      <c r="K10" s="80" t="s">
        <v>39</v>
      </c>
      <c r="L10" s="76" t="s">
        <v>41</v>
      </c>
      <c r="M10" s="80" t="s">
        <v>44</v>
      </c>
      <c r="N10" s="80"/>
      <c r="O10" s="80"/>
      <c r="P10" s="80"/>
      <c r="Q10" s="80" t="s">
        <v>76</v>
      </c>
      <c r="R10" s="76" t="s">
        <v>19</v>
      </c>
      <c r="S10" s="19"/>
    </row>
    <row r="11" spans="1:25" ht="14.25" customHeight="1" x14ac:dyDescent="0.25">
      <c r="A11" s="28">
        <v>10</v>
      </c>
      <c r="B11" s="21">
        <v>45139</v>
      </c>
      <c r="C11" s="80" t="s">
        <v>73</v>
      </c>
      <c r="D11" s="80" t="s">
        <v>75</v>
      </c>
      <c r="E11" s="80">
        <v>79</v>
      </c>
      <c r="F11" s="77" t="s">
        <v>30</v>
      </c>
      <c r="G11" s="81">
        <v>45125</v>
      </c>
      <c r="H11" s="82">
        <f t="shared" ref="H11" si="1">DAYS360(G11,B11)</f>
        <v>13</v>
      </c>
      <c r="I11" s="80" t="s">
        <v>26</v>
      </c>
      <c r="J11" s="80">
        <v>0.75</v>
      </c>
      <c r="K11" s="80" t="s">
        <v>39</v>
      </c>
      <c r="L11" s="76" t="s">
        <v>41</v>
      </c>
      <c r="M11" s="80"/>
      <c r="N11" s="80"/>
      <c r="O11" s="80" t="s">
        <v>25</v>
      </c>
      <c r="P11" s="80"/>
      <c r="Q11" s="80" t="s">
        <v>76</v>
      </c>
      <c r="R11" s="76" t="s">
        <v>19</v>
      </c>
      <c r="S11" s="19"/>
    </row>
    <row r="12" spans="1:25" ht="14.25" customHeight="1" x14ac:dyDescent="0.25">
      <c r="A12" s="28">
        <v>11</v>
      </c>
      <c r="B12" s="21">
        <v>45139</v>
      </c>
      <c r="C12" s="80" t="s">
        <v>59</v>
      </c>
      <c r="D12" s="80" t="s">
        <v>60</v>
      </c>
      <c r="E12" s="80">
        <v>72</v>
      </c>
      <c r="F12" s="77" t="s">
        <v>30</v>
      </c>
      <c r="G12" s="81">
        <v>45119</v>
      </c>
      <c r="H12" s="82">
        <f t="shared" si="0"/>
        <v>19</v>
      </c>
      <c r="I12" s="80" t="s">
        <v>22</v>
      </c>
      <c r="J12" s="80">
        <v>1</v>
      </c>
      <c r="K12" s="80" t="s">
        <v>39</v>
      </c>
      <c r="L12" s="76" t="s">
        <v>41</v>
      </c>
      <c r="M12" s="80" t="s">
        <v>44</v>
      </c>
      <c r="N12" s="80"/>
      <c r="O12" s="80"/>
      <c r="P12" s="80"/>
      <c r="Q12" s="90" t="s">
        <v>61</v>
      </c>
      <c r="R12" s="76" t="s">
        <v>19</v>
      </c>
      <c r="S12" s="19"/>
    </row>
    <row r="13" spans="1:25" ht="14.25" customHeight="1" x14ac:dyDescent="0.25">
      <c r="A13" s="28">
        <v>12</v>
      </c>
      <c r="B13" s="21">
        <v>45139</v>
      </c>
      <c r="C13" s="85" t="s">
        <v>42</v>
      </c>
      <c r="D13" s="86" t="s">
        <v>43</v>
      </c>
      <c r="E13" s="86">
        <v>41</v>
      </c>
      <c r="F13" s="77" t="s">
        <v>30</v>
      </c>
      <c r="G13" s="18">
        <v>45114</v>
      </c>
      <c r="H13" s="82">
        <f t="shared" si="0"/>
        <v>24</v>
      </c>
      <c r="I13" s="86" t="s">
        <v>22</v>
      </c>
      <c r="J13" s="86">
        <v>1</v>
      </c>
      <c r="K13" s="86" t="s">
        <v>39</v>
      </c>
      <c r="L13" s="76" t="s">
        <v>41</v>
      </c>
      <c r="M13" s="86" t="s">
        <v>44</v>
      </c>
      <c r="N13" s="86"/>
      <c r="O13" s="86"/>
      <c r="P13" s="86"/>
      <c r="Q13" s="86" t="s">
        <v>45</v>
      </c>
      <c r="R13" s="76" t="s">
        <v>19</v>
      </c>
      <c r="S13" s="19"/>
    </row>
    <row r="14" spans="1:25" ht="14.25" customHeight="1" x14ac:dyDescent="0.25">
      <c r="A14" s="28">
        <v>13</v>
      </c>
      <c r="B14" s="21">
        <v>45139</v>
      </c>
      <c r="C14" s="77" t="s">
        <v>47</v>
      </c>
      <c r="D14" s="77" t="s">
        <v>48</v>
      </c>
      <c r="E14" s="77">
        <v>73</v>
      </c>
      <c r="F14" s="77" t="s">
        <v>30</v>
      </c>
      <c r="G14" s="108">
        <v>45117</v>
      </c>
      <c r="H14" s="82">
        <f t="shared" si="0"/>
        <v>21</v>
      </c>
      <c r="I14" s="77" t="s">
        <v>16</v>
      </c>
      <c r="J14" s="77">
        <v>1.5</v>
      </c>
      <c r="K14" s="77" t="s">
        <v>17</v>
      </c>
      <c r="L14" s="76" t="s">
        <v>41</v>
      </c>
      <c r="M14" s="77" t="s">
        <v>32</v>
      </c>
      <c r="N14" s="77"/>
      <c r="O14" s="77"/>
      <c r="P14" s="77"/>
      <c r="Q14" s="77" t="s">
        <v>49</v>
      </c>
      <c r="R14" s="76" t="s">
        <v>19</v>
      </c>
      <c r="S14" s="19"/>
    </row>
    <row r="15" spans="1:25" ht="14.25" customHeight="1" x14ac:dyDescent="0.25">
      <c r="A15" s="28">
        <v>14</v>
      </c>
      <c r="B15" s="21">
        <v>45139</v>
      </c>
      <c r="C15" s="80" t="s">
        <v>79</v>
      </c>
      <c r="D15" s="80" t="s">
        <v>80</v>
      </c>
      <c r="E15" s="80">
        <v>66</v>
      </c>
      <c r="F15" s="77" t="s">
        <v>30</v>
      </c>
      <c r="G15" s="81">
        <v>45128</v>
      </c>
      <c r="H15" s="82">
        <f t="shared" si="0"/>
        <v>10</v>
      </c>
      <c r="I15" s="80" t="s">
        <v>16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76</v>
      </c>
      <c r="R15" s="76" t="s">
        <v>19</v>
      </c>
      <c r="S15" s="19"/>
    </row>
    <row r="16" spans="1:25" ht="14.25" customHeight="1" x14ac:dyDescent="0.25">
      <c r="A16" s="28">
        <v>15</v>
      </c>
      <c r="B16" s="21">
        <v>45139</v>
      </c>
      <c r="C16" s="80" t="s">
        <v>92</v>
      </c>
      <c r="D16" s="80" t="s">
        <v>93</v>
      </c>
      <c r="E16" s="80">
        <v>53</v>
      </c>
      <c r="F16" s="80" t="s">
        <v>40</v>
      </c>
      <c r="G16" s="91">
        <v>45138</v>
      </c>
      <c r="H16" s="82">
        <f t="shared" si="0"/>
        <v>1</v>
      </c>
      <c r="I16" s="80" t="s">
        <v>26</v>
      </c>
      <c r="J16" s="80">
        <v>1</v>
      </c>
      <c r="K16" s="80" t="s">
        <v>17</v>
      </c>
      <c r="L16" s="76" t="s">
        <v>41</v>
      </c>
      <c r="M16" s="80"/>
      <c r="N16" s="80"/>
      <c r="O16" s="80" t="s">
        <v>25</v>
      </c>
      <c r="P16" s="80"/>
      <c r="Q16" s="80" t="s">
        <v>94</v>
      </c>
      <c r="R16" s="80" t="s">
        <v>19</v>
      </c>
      <c r="S16" s="19"/>
    </row>
    <row r="17" spans="1:19" ht="14.25" customHeight="1" x14ac:dyDescent="0.25">
      <c r="A17" s="28">
        <v>16</v>
      </c>
      <c r="B17" s="21">
        <v>45139</v>
      </c>
      <c r="C17" s="80" t="s">
        <v>95</v>
      </c>
      <c r="D17" s="80" t="s">
        <v>96</v>
      </c>
      <c r="E17" s="80">
        <v>74</v>
      </c>
      <c r="F17" s="80" t="s">
        <v>40</v>
      </c>
      <c r="G17" s="91">
        <v>45138</v>
      </c>
      <c r="H17" s="82">
        <f t="shared" si="0"/>
        <v>1</v>
      </c>
      <c r="I17" s="80" t="s">
        <v>97</v>
      </c>
      <c r="J17" s="80">
        <v>1.5</v>
      </c>
      <c r="K17" s="80" t="s">
        <v>17</v>
      </c>
      <c r="L17" s="76" t="s">
        <v>41</v>
      </c>
      <c r="M17" s="80" t="s">
        <v>44</v>
      </c>
      <c r="N17" s="80"/>
      <c r="O17" s="80"/>
      <c r="P17" s="80"/>
      <c r="Q17" s="80" t="s">
        <v>100</v>
      </c>
      <c r="R17" s="80" t="s">
        <v>19</v>
      </c>
      <c r="S17" s="19"/>
    </row>
    <row r="18" spans="1:19" ht="14.25" customHeight="1" x14ac:dyDescent="0.25">
      <c r="A18" s="28">
        <v>17</v>
      </c>
      <c r="B18" s="21">
        <v>45139</v>
      </c>
      <c r="C18" s="80" t="s">
        <v>98</v>
      </c>
      <c r="D18" s="80" t="s">
        <v>99</v>
      </c>
      <c r="E18" s="80">
        <v>85</v>
      </c>
      <c r="F18" s="80" t="s">
        <v>40</v>
      </c>
      <c r="G18" s="91">
        <v>45138</v>
      </c>
      <c r="H18" s="82">
        <f t="shared" si="0"/>
        <v>1</v>
      </c>
      <c r="I18" s="80" t="s">
        <v>16</v>
      </c>
      <c r="J18" s="80">
        <v>1</v>
      </c>
      <c r="K18" s="80" t="s">
        <v>17</v>
      </c>
      <c r="L18" s="76" t="s">
        <v>41</v>
      </c>
      <c r="M18" s="80" t="s">
        <v>44</v>
      </c>
      <c r="N18" s="80"/>
      <c r="O18" s="80"/>
      <c r="P18" s="80"/>
      <c r="Q18" s="80" t="s">
        <v>101</v>
      </c>
      <c r="R18" s="80" t="s">
        <v>19</v>
      </c>
      <c r="S18" s="19"/>
    </row>
    <row r="19" spans="1:19" ht="14.25" customHeight="1" x14ac:dyDescent="0.25">
      <c r="A19" s="28">
        <v>18</v>
      </c>
      <c r="B19" s="19"/>
      <c r="C19" s="19"/>
      <c r="D19" s="19"/>
      <c r="E19" s="19"/>
      <c r="F19" s="19"/>
      <c r="G19" s="20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4.25" customHeight="1" x14ac:dyDescent="0.25">
      <c r="A20" s="28">
        <v>19</v>
      </c>
      <c r="B20" s="19"/>
      <c r="C20" s="19"/>
      <c r="D20" s="19"/>
      <c r="E20" s="19"/>
      <c r="F20" s="19"/>
      <c r="G20" s="20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4.25" customHeight="1" x14ac:dyDescent="0.25"/>
    <row r="22" spans="1:19" ht="14.25" customHeight="1" x14ac:dyDescent="0.25"/>
    <row r="23" spans="1:19" ht="14.25" customHeight="1" x14ac:dyDescent="0.25"/>
    <row r="24" spans="1:19" ht="14.25" customHeight="1" x14ac:dyDescent="0.25"/>
    <row r="25" spans="1:19" ht="14.25" customHeight="1" x14ac:dyDescent="0.25"/>
    <row r="26" spans="1:19" ht="14.25" customHeight="1" x14ac:dyDescent="0.25"/>
    <row r="27" spans="1:19" ht="14.25" customHeight="1" x14ac:dyDescent="0.25"/>
    <row r="28" spans="1:19" ht="14.25" customHeight="1" x14ac:dyDescent="0.25"/>
    <row r="29" spans="1:19" ht="14.25" customHeight="1" x14ac:dyDescent="0.25"/>
    <row r="30" spans="1:19" ht="14.25" customHeight="1" x14ac:dyDescent="0.25"/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honeticPr fontId="6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4"/>
  <sheetViews>
    <sheetView workbookViewId="0">
      <selection activeCell="M18" sqref="M18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5.7109375" style="98" customWidth="1"/>
    <col min="8" max="8" width="11.71093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25" ht="30.75" customHeight="1" x14ac:dyDescent="0.25">
      <c r="A1" s="23"/>
      <c r="B1" s="24" t="s">
        <v>65</v>
      </c>
      <c r="C1" s="1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1" t="s">
        <v>13</v>
      </c>
      <c r="Q1" s="25" t="s">
        <v>14</v>
      </c>
      <c r="R1" s="1" t="s">
        <v>15</v>
      </c>
      <c r="S1" s="25" t="s">
        <v>67</v>
      </c>
      <c r="T1" s="33"/>
      <c r="U1" s="33"/>
      <c r="V1" s="33"/>
      <c r="W1" s="33"/>
      <c r="X1" s="33"/>
      <c r="Y1" s="33"/>
    </row>
    <row r="2" spans="1:25" ht="14.25" customHeight="1" x14ac:dyDescent="0.25">
      <c r="A2" s="34">
        <v>1</v>
      </c>
      <c r="B2" s="35">
        <v>45140</v>
      </c>
      <c r="C2" s="77" t="s">
        <v>28</v>
      </c>
      <c r="D2" s="77" t="s">
        <v>29</v>
      </c>
      <c r="E2" s="77">
        <v>81</v>
      </c>
      <c r="F2" s="77" t="s">
        <v>30</v>
      </c>
      <c r="G2" s="108">
        <v>45105</v>
      </c>
      <c r="H2" s="78">
        <f>DAYS360(G2,B2)</f>
        <v>34</v>
      </c>
      <c r="I2" s="77" t="s">
        <v>31</v>
      </c>
      <c r="J2" s="77">
        <v>1.5</v>
      </c>
      <c r="K2" s="77" t="s">
        <v>17</v>
      </c>
      <c r="L2" s="76" t="s">
        <v>41</v>
      </c>
      <c r="M2" s="77" t="s">
        <v>32</v>
      </c>
      <c r="N2" s="77"/>
      <c r="O2" s="77"/>
      <c r="P2" s="77"/>
      <c r="Q2" s="88" t="s">
        <v>33</v>
      </c>
      <c r="R2" s="114" t="s">
        <v>19</v>
      </c>
      <c r="S2" s="15"/>
      <c r="T2" s="19"/>
      <c r="U2" s="19"/>
      <c r="V2" s="19"/>
      <c r="W2" s="19"/>
      <c r="X2" s="19"/>
      <c r="Y2" s="19"/>
    </row>
    <row r="3" spans="1:25" ht="14.25" customHeight="1" x14ac:dyDescent="0.25">
      <c r="A3" s="34">
        <v>2</v>
      </c>
      <c r="B3" s="35">
        <v>45140</v>
      </c>
      <c r="C3" s="77" t="s">
        <v>47</v>
      </c>
      <c r="D3" s="77" t="s">
        <v>48</v>
      </c>
      <c r="E3" s="77">
        <v>73</v>
      </c>
      <c r="F3" s="77" t="s">
        <v>30</v>
      </c>
      <c r="G3" s="108">
        <v>45117</v>
      </c>
      <c r="H3" s="78">
        <f t="shared" ref="H3:H15" si="0">DAYS360(G3,B3)</f>
        <v>22</v>
      </c>
      <c r="I3" s="77" t="s">
        <v>16</v>
      </c>
      <c r="J3" s="77">
        <v>1.5</v>
      </c>
      <c r="K3" s="77" t="s">
        <v>17</v>
      </c>
      <c r="L3" s="76" t="s">
        <v>41</v>
      </c>
      <c r="M3" s="77" t="s">
        <v>32</v>
      </c>
      <c r="N3" s="77"/>
      <c r="O3" s="77"/>
      <c r="P3" s="77"/>
      <c r="Q3" s="88" t="s">
        <v>49</v>
      </c>
      <c r="R3" s="114" t="s">
        <v>19</v>
      </c>
      <c r="S3" s="15"/>
      <c r="T3" s="19"/>
      <c r="U3" s="19"/>
      <c r="V3" s="19"/>
      <c r="W3" s="19"/>
      <c r="X3" s="19"/>
      <c r="Y3" s="19"/>
    </row>
    <row r="4" spans="1:25" ht="14.25" customHeight="1" x14ac:dyDescent="0.25">
      <c r="A4" s="34">
        <v>3</v>
      </c>
      <c r="B4" s="35">
        <v>45140</v>
      </c>
      <c r="C4" s="80" t="s">
        <v>53</v>
      </c>
      <c r="D4" s="80" t="s">
        <v>54</v>
      </c>
      <c r="E4" s="80">
        <v>76</v>
      </c>
      <c r="F4" s="77" t="s">
        <v>30</v>
      </c>
      <c r="G4" s="81">
        <v>45118</v>
      </c>
      <c r="H4" s="78">
        <f t="shared" si="0"/>
        <v>21</v>
      </c>
      <c r="I4" s="79" t="s">
        <v>26</v>
      </c>
      <c r="J4" s="80">
        <v>1</v>
      </c>
      <c r="K4" s="80" t="s">
        <v>17</v>
      </c>
      <c r="L4" s="76" t="s">
        <v>41</v>
      </c>
      <c r="M4" s="80"/>
      <c r="N4" s="80" t="s">
        <v>27</v>
      </c>
      <c r="O4" s="80"/>
      <c r="P4" s="80"/>
      <c r="Q4" s="110" t="s">
        <v>55</v>
      </c>
      <c r="R4" s="114" t="s">
        <v>19</v>
      </c>
      <c r="S4" s="15"/>
      <c r="T4" s="19"/>
      <c r="U4" s="19"/>
      <c r="V4" s="19"/>
      <c r="W4" s="19"/>
      <c r="X4" s="19"/>
      <c r="Y4" s="19"/>
    </row>
    <row r="5" spans="1:25" ht="14.25" customHeight="1" x14ac:dyDescent="0.25">
      <c r="A5" s="34">
        <v>4</v>
      </c>
      <c r="B5" s="35">
        <v>45140</v>
      </c>
      <c r="C5" s="80" t="s">
        <v>62</v>
      </c>
      <c r="D5" s="80" t="s">
        <v>63</v>
      </c>
      <c r="E5" s="80">
        <v>65</v>
      </c>
      <c r="F5" s="77" t="s">
        <v>30</v>
      </c>
      <c r="G5" s="81">
        <v>45119</v>
      </c>
      <c r="H5" s="78">
        <f t="shared" si="0"/>
        <v>20</v>
      </c>
      <c r="I5" s="80" t="s">
        <v>26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110" t="s">
        <v>64</v>
      </c>
      <c r="R5" s="114" t="s">
        <v>19</v>
      </c>
      <c r="S5" s="15"/>
      <c r="T5" s="19"/>
      <c r="U5" s="19"/>
      <c r="V5" s="19"/>
      <c r="W5" s="19"/>
      <c r="X5" s="19"/>
      <c r="Y5" s="19"/>
    </row>
    <row r="6" spans="1:25" ht="15" customHeight="1" x14ac:dyDescent="0.25">
      <c r="A6" s="34">
        <v>5</v>
      </c>
      <c r="B6" s="35">
        <v>45140</v>
      </c>
      <c r="C6" s="80" t="s">
        <v>59</v>
      </c>
      <c r="D6" s="80" t="s">
        <v>60</v>
      </c>
      <c r="E6" s="80">
        <v>72</v>
      </c>
      <c r="F6" s="77" t="s">
        <v>30</v>
      </c>
      <c r="G6" s="81">
        <v>45119</v>
      </c>
      <c r="H6" s="78">
        <f t="shared" si="0"/>
        <v>20</v>
      </c>
      <c r="I6" s="80" t="s">
        <v>22</v>
      </c>
      <c r="J6" s="80">
        <v>1</v>
      </c>
      <c r="K6" s="80" t="s">
        <v>39</v>
      </c>
      <c r="L6" s="76" t="s">
        <v>41</v>
      </c>
      <c r="M6" s="80" t="s">
        <v>44</v>
      </c>
      <c r="N6" s="80"/>
      <c r="O6" s="80"/>
      <c r="P6" s="80"/>
      <c r="Q6" s="111" t="s">
        <v>61</v>
      </c>
      <c r="R6" s="114" t="s">
        <v>19</v>
      </c>
      <c r="S6" s="15"/>
      <c r="T6" s="19"/>
      <c r="U6" s="19"/>
      <c r="V6" s="19"/>
      <c r="W6" s="19"/>
      <c r="X6" s="19"/>
      <c r="Y6" s="19"/>
    </row>
    <row r="7" spans="1:25" ht="15" customHeight="1" x14ac:dyDescent="0.25">
      <c r="A7" s="34">
        <v>6</v>
      </c>
      <c r="B7" s="35">
        <v>45140</v>
      </c>
      <c r="C7" s="80" t="s">
        <v>56</v>
      </c>
      <c r="D7" s="80" t="s">
        <v>57</v>
      </c>
      <c r="E7" s="80">
        <v>78</v>
      </c>
      <c r="F7" s="77" t="s">
        <v>30</v>
      </c>
      <c r="G7" s="81">
        <v>45120</v>
      </c>
      <c r="H7" s="78">
        <f t="shared" si="0"/>
        <v>19</v>
      </c>
      <c r="I7" s="80" t="s">
        <v>26</v>
      </c>
      <c r="J7" s="80">
        <v>1</v>
      </c>
      <c r="K7" s="80" t="s">
        <v>17</v>
      </c>
      <c r="L7" s="76" t="s">
        <v>41</v>
      </c>
      <c r="M7" s="80" t="s">
        <v>46</v>
      </c>
      <c r="N7" s="80"/>
      <c r="O7" s="80"/>
      <c r="P7" s="80"/>
      <c r="Q7" s="110" t="s">
        <v>58</v>
      </c>
      <c r="R7" s="114" t="s">
        <v>19</v>
      </c>
      <c r="S7" s="15"/>
      <c r="T7" s="19"/>
      <c r="U7" s="19"/>
      <c r="V7" s="19"/>
      <c r="W7" s="19"/>
      <c r="X7" s="19"/>
      <c r="Y7" s="19"/>
    </row>
    <row r="8" spans="1:25" ht="14.25" customHeight="1" x14ac:dyDescent="0.25">
      <c r="A8" s="34">
        <v>7</v>
      </c>
      <c r="B8" s="35">
        <v>45140</v>
      </c>
      <c r="C8" s="80" t="s">
        <v>73</v>
      </c>
      <c r="D8" s="80" t="s">
        <v>75</v>
      </c>
      <c r="E8" s="80">
        <v>79</v>
      </c>
      <c r="F8" s="77" t="s">
        <v>30</v>
      </c>
      <c r="G8" s="81">
        <v>45125</v>
      </c>
      <c r="H8" s="78">
        <f t="shared" si="0"/>
        <v>14</v>
      </c>
      <c r="I8" s="80" t="s">
        <v>26</v>
      </c>
      <c r="J8" s="80">
        <v>0.75</v>
      </c>
      <c r="K8" s="80" t="s">
        <v>39</v>
      </c>
      <c r="L8" s="76" t="s">
        <v>41</v>
      </c>
      <c r="M8" s="80"/>
      <c r="N8" s="80"/>
      <c r="O8" s="80" t="s">
        <v>25</v>
      </c>
      <c r="P8" s="80"/>
      <c r="Q8" s="110" t="s">
        <v>76</v>
      </c>
      <c r="R8" s="114" t="s">
        <v>19</v>
      </c>
      <c r="S8" s="15"/>
      <c r="T8" s="19"/>
      <c r="U8" s="19"/>
      <c r="V8" s="19"/>
      <c r="W8" s="19"/>
      <c r="X8" s="19"/>
      <c r="Y8" s="19"/>
    </row>
    <row r="9" spans="1:25" ht="14.25" customHeight="1" x14ac:dyDescent="0.25">
      <c r="A9" s="34">
        <v>8</v>
      </c>
      <c r="B9" s="35">
        <v>45140</v>
      </c>
      <c r="C9" s="83" t="s">
        <v>37</v>
      </c>
      <c r="D9" s="83" t="s">
        <v>38</v>
      </c>
      <c r="E9" s="83">
        <v>32</v>
      </c>
      <c r="F9" s="77" t="s">
        <v>30</v>
      </c>
      <c r="G9" s="109">
        <v>45125</v>
      </c>
      <c r="H9" s="78">
        <f t="shared" si="0"/>
        <v>14</v>
      </c>
      <c r="I9" s="83" t="s">
        <v>24</v>
      </c>
      <c r="J9" s="83">
        <v>0.75</v>
      </c>
      <c r="K9" s="83" t="s">
        <v>39</v>
      </c>
      <c r="L9" s="76" t="s">
        <v>41</v>
      </c>
      <c r="M9" s="83"/>
      <c r="N9" s="83"/>
      <c r="O9" s="83" t="s">
        <v>25</v>
      </c>
      <c r="P9" s="83"/>
      <c r="Q9" s="112" t="s">
        <v>74</v>
      </c>
      <c r="R9" s="114" t="s">
        <v>19</v>
      </c>
      <c r="S9" s="15"/>
      <c r="T9" s="19"/>
      <c r="U9" s="19"/>
      <c r="V9" s="19"/>
      <c r="W9" s="19"/>
      <c r="X9" s="19"/>
      <c r="Y9" s="19"/>
    </row>
    <row r="10" spans="1:25" ht="14.25" customHeight="1" x14ac:dyDescent="0.25">
      <c r="A10" s="34">
        <v>9</v>
      </c>
      <c r="B10" s="35">
        <v>45140</v>
      </c>
      <c r="C10" s="80" t="s">
        <v>83</v>
      </c>
      <c r="D10" s="80" t="s">
        <v>84</v>
      </c>
      <c r="E10" s="80">
        <v>81</v>
      </c>
      <c r="F10" s="77" t="s">
        <v>30</v>
      </c>
      <c r="G10" s="81">
        <v>45129</v>
      </c>
      <c r="H10" s="78">
        <f t="shared" si="0"/>
        <v>10</v>
      </c>
      <c r="I10" s="80" t="s">
        <v>26</v>
      </c>
      <c r="J10" s="80">
        <v>1</v>
      </c>
      <c r="K10" s="80" t="s">
        <v>17</v>
      </c>
      <c r="L10" s="76" t="s">
        <v>41</v>
      </c>
      <c r="M10" s="80"/>
      <c r="N10" s="80" t="s">
        <v>52</v>
      </c>
      <c r="O10" s="80"/>
      <c r="P10" s="80"/>
      <c r="Q10" s="110" t="s">
        <v>85</v>
      </c>
      <c r="R10" s="114" t="s">
        <v>19</v>
      </c>
      <c r="S10" s="15"/>
      <c r="T10" s="19"/>
      <c r="U10" s="19"/>
      <c r="V10" s="19"/>
      <c r="W10" s="19"/>
      <c r="X10" s="19"/>
      <c r="Y10" s="19"/>
    </row>
    <row r="11" spans="1:25" ht="14.25" customHeight="1" x14ac:dyDescent="0.25">
      <c r="A11" s="34">
        <v>10</v>
      </c>
      <c r="B11" s="35">
        <v>45140</v>
      </c>
      <c r="C11" s="80" t="s">
        <v>86</v>
      </c>
      <c r="D11" s="80" t="s">
        <v>87</v>
      </c>
      <c r="E11" s="80">
        <v>96</v>
      </c>
      <c r="F11" s="77" t="s">
        <v>30</v>
      </c>
      <c r="G11" s="81">
        <v>45133</v>
      </c>
      <c r="H11" s="78">
        <f t="shared" si="0"/>
        <v>6</v>
      </c>
      <c r="I11" s="80" t="s">
        <v>26</v>
      </c>
      <c r="J11" s="80">
        <v>1</v>
      </c>
      <c r="K11" s="80" t="s">
        <v>17</v>
      </c>
      <c r="L11" s="76" t="s">
        <v>41</v>
      </c>
      <c r="M11" s="80"/>
      <c r="N11" s="80"/>
      <c r="O11" s="80" t="s">
        <v>25</v>
      </c>
      <c r="P11" s="80"/>
      <c r="Q11" s="110" t="s">
        <v>88</v>
      </c>
      <c r="R11" s="114" t="s">
        <v>19</v>
      </c>
      <c r="S11" s="15"/>
      <c r="T11" s="19"/>
      <c r="U11" s="19"/>
      <c r="V11" s="19"/>
      <c r="W11" s="19"/>
      <c r="X11" s="19"/>
      <c r="Y11" s="19"/>
    </row>
    <row r="12" spans="1:25" ht="14.25" customHeight="1" x14ac:dyDescent="0.25">
      <c r="A12" s="34">
        <v>11</v>
      </c>
      <c r="B12" s="35">
        <v>45140</v>
      </c>
      <c r="C12" s="80" t="s">
        <v>89</v>
      </c>
      <c r="D12" s="80" t="s">
        <v>90</v>
      </c>
      <c r="E12" s="80">
        <v>58</v>
      </c>
      <c r="F12" s="77" t="s">
        <v>30</v>
      </c>
      <c r="G12" s="81">
        <v>45136</v>
      </c>
      <c r="H12" s="78">
        <f t="shared" si="0"/>
        <v>3</v>
      </c>
      <c r="I12" s="80" t="s">
        <v>24</v>
      </c>
      <c r="J12" s="80">
        <v>1</v>
      </c>
      <c r="K12" s="80" t="s">
        <v>17</v>
      </c>
      <c r="L12" s="76" t="s">
        <v>41</v>
      </c>
      <c r="M12" s="80" t="s">
        <v>46</v>
      </c>
      <c r="N12" s="80"/>
      <c r="O12" s="80"/>
      <c r="P12" s="80"/>
      <c r="Q12" s="110" t="s">
        <v>91</v>
      </c>
      <c r="R12" s="114" t="s">
        <v>19</v>
      </c>
      <c r="S12" s="15"/>
      <c r="T12" s="19"/>
      <c r="U12" s="19"/>
      <c r="V12" s="19"/>
      <c r="W12" s="19"/>
      <c r="X12" s="19"/>
      <c r="Y12" s="19"/>
    </row>
    <row r="13" spans="1:25" ht="14.25" customHeight="1" x14ac:dyDescent="0.25">
      <c r="A13" s="34">
        <v>12</v>
      </c>
      <c r="B13" s="35">
        <v>45140</v>
      </c>
      <c r="C13" s="80" t="s">
        <v>92</v>
      </c>
      <c r="D13" s="80" t="s">
        <v>93</v>
      </c>
      <c r="E13" s="80">
        <v>53</v>
      </c>
      <c r="F13" s="77" t="s">
        <v>30</v>
      </c>
      <c r="G13" s="81">
        <v>45138</v>
      </c>
      <c r="H13" s="78">
        <f t="shared" si="0"/>
        <v>2</v>
      </c>
      <c r="I13" s="80" t="s">
        <v>26</v>
      </c>
      <c r="J13" s="80">
        <v>1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110" t="s">
        <v>94</v>
      </c>
      <c r="R13" s="114" t="s">
        <v>19</v>
      </c>
      <c r="S13" s="15"/>
      <c r="T13" s="19"/>
      <c r="U13" s="19"/>
      <c r="V13" s="19"/>
      <c r="W13" s="19"/>
      <c r="X13" s="19"/>
      <c r="Y13" s="19"/>
    </row>
    <row r="14" spans="1:25" ht="14.25" customHeight="1" x14ac:dyDescent="0.25">
      <c r="A14" s="34">
        <v>13</v>
      </c>
      <c r="B14" s="35">
        <v>45140</v>
      </c>
      <c r="C14" s="80" t="s">
        <v>95</v>
      </c>
      <c r="D14" s="80" t="s">
        <v>96</v>
      </c>
      <c r="E14" s="80">
        <v>74</v>
      </c>
      <c r="F14" s="77" t="s">
        <v>30</v>
      </c>
      <c r="G14" s="81">
        <v>45138</v>
      </c>
      <c r="H14" s="78">
        <f t="shared" si="0"/>
        <v>2</v>
      </c>
      <c r="I14" s="80" t="s">
        <v>97</v>
      </c>
      <c r="J14" s="80">
        <v>1.5</v>
      </c>
      <c r="K14" s="80" t="s">
        <v>17</v>
      </c>
      <c r="L14" s="76" t="s">
        <v>41</v>
      </c>
      <c r="M14" s="80" t="s">
        <v>44</v>
      </c>
      <c r="N14" s="80"/>
      <c r="O14" s="80"/>
      <c r="P14" s="80"/>
      <c r="Q14" s="110" t="s">
        <v>100</v>
      </c>
      <c r="R14" s="114" t="s">
        <v>19</v>
      </c>
      <c r="S14" s="15"/>
      <c r="T14" s="19"/>
      <c r="U14" s="19"/>
      <c r="V14" s="19"/>
      <c r="W14" s="19"/>
      <c r="X14" s="19"/>
      <c r="Y14" s="19"/>
    </row>
    <row r="15" spans="1:25" ht="14.25" customHeight="1" x14ac:dyDescent="0.25">
      <c r="A15" s="34">
        <v>14</v>
      </c>
      <c r="B15" s="35">
        <v>45140</v>
      </c>
      <c r="C15" s="80" t="s">
        <v>98</v>
      </c>
      <c r="D15" s="80" t="s">
        <v>99</v>
      </c>
      <c r="E15" s="80">
        <v>85</v>
      </c>
      <c r="F15" s="77" t="s">
        <v>30</v>
      </c>
      <c r="G15" s="81">
        <v>45138</v>
      </c>
      <c r="H15" s="78">
        <f t="shared" si="0"/>
        <v>2</v>
      </c>
      <c r="I15" s="80" t="s">
        <v>16</v>
      </c>
      <c r="J15" s="80">
        <v>1</v>
      </c>
      <c r="K15" s="80" t="s">
        <v>17</v>
      </c>
      <c r="L15" s="76" t="s">
        <v>41</v>
      </c>
      <c r="M15" s="80" t="s">
        <v>44</v>
      </c>
      <c r="N15" s="80"/>
      <c r="O15" s="80"/>
      <c r="P15" s="80"/>
      <c r="Q15" s="110" t="s">
        <v>101</v>
      </c>
      <c r="R15" s="114" t="s">
        <v>19</v>
      </c>
      <c r="S15" s="15"/>
      <c r="T15" s="19"/>
      <c r="U15" s="19"/>
      <c r="V15" s="19"/>
      <c r="W15" s="19"/>
      <c r="X15" s="19"/>
      <c r="Y15" s="19"/>
    </row>
    <row r="16" spans="1:25" ht="14.25" customHeight="1" x14ac:dyDescent="0.25">
      <c r="A16" s="34"/>
      <c r="B16" s="35"/>
      <c r="C16" s="16"/>
      <c r="D16" s="38"/>
      <c r="E16" s="38"/>
      <c r="F16" s="34"/>
      <c r="G16" s="115"/>
      <c r="H16" s="38"/>
      <c r="I16" s="38"/>
      <c r="J16" s="38"/>
      <c r="K16" s="38"/>
      <c r="L16" s="34"/>
      <c r="M16" s="38"/>
      <c r="N16" s="38"/>
      <c r="O16" s="38"/>
      <c r="P16" s="38"/>
      <c r="Q16" s="38"/>
      <c r="R16" s="113"/>
      <c r="S16" s="19"/>
      <c r="T16" s="19"/>
      <c r="U16" s="19"/>
      <c r="V16" s="19"/>
      <c r="W16" s="19"/>
      <c r="X16" s="19"/>
      <c r="Y16" s="19"/>
    </row>
    <row r="17" spans="1:25" ht="14.25" customHeight="1" x14ac:dyDescent="0.25">
      <c r="A17" s="34"/>
      <c r="B17" s="35"/>
      <c r="C17" s="16"/>
      <c r="D17" s="34"/>
      <c r="E17" s="34"/>
      <c r="F17" s="34"/>
      <c r="G17" s="116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9"/>
      <c r="S17" s="19"/>
      <c r="T17" s="19"/>
      <c r="U17" s="19"/>
      <c r="V17" s="19"/>
      <c r="W17" s="19"/>
      <c r="X17" s="19"/>
      <c r="Y17" s="19"/>
    </row>
    <row r="18" spans="1:25" ht="14.25" customHeight="1" x14ac:dyDescent="0.25">
      <c r="A18" s="34"/>
      <c r="B18" s="35"/>
      <c r="C18" s="16"/>
      <c r="D18" s="40"/>
      <c r="E18" s="40"/>
      <c r="F18" s="40"/>
      <c r="G18" s="117"/>
      <c r="H18" s="40"/>
      <c r="I18" s="40"/>
      <c r="J18" s="40"/>
      <c r="K18" s="40"/>
      <c r="L18" s="40"/>
      <c r="M18" s="40"/>
      <c r="N18" s="41"/>
      <c r="O18" s="41"/>
      <c r="P18" s="41"/>
      <c r="Q18" s="40"/>
      <c r="R18" s="40"/>
      <c r="S18" s="19"/>
      <c r="T18" s="19"/>
      <c r="U18" s="19"/>
      <c r="V18" s="19"/>
      <c r="W18" s="19"/>
      <c r="X18" s="19"/>
      <c r="Y18" s="19"/>
    </row>
    <row r="19" spans="1:25" ht="14.25" customHeight="1" x14ac:dyDescent="0.25">
      <c r="A19" s="34"/>
      <c r="B19" s="35"/>
      <c r="C19" s="16"/>
      <c r="D19" s="37"/>
      <c r="E19" s="37"/>
      <c r="F19" s="37"/>
      <c r="G19" s="118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17"/>
      <c r="S19" s="19"/>
      <c r="T19" s="19"/>
      <c r="U19" s="19"/>
      <c r="V19" s="19"/>
      <c r="W19" s="19"/>
      <c r="X19" s="19"/>
      <c r="Y19" s="19"/>
    </row>
    <row r="20" spans="1:25" ht="14.25" customHeight="1" x14ac:dyDescent="0.25">
      <c r="A20" s="34"/>
      <c r="B20" s="35"/>
      <c r="C20" s="16"/>
      <c r="D20" s="37"/>
      <c r="E20" s="37"/>
      <c r="F20" s="37"/>
      <c r="G20" s="118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17"/>
      <c r="S20" s="19"/>
      <c r="T20" s="19"/>
      <c r="U20" s="19"/>
      <c r="V20" s="19"/>
      <c r="W20" s="19"/>
      <c r="X20" s="19"/>
      <c r="Y20" s="19"/>
    </row>
    <row r="21" spans="1:25" ht="14.25" customHeight="1" x14ac:dyDescent="0.25">
      <c r="A21" s="34"/>
      <c r="B21" s="35"/>
      <c r="C21" s="16"/>
      <c r="D21" s="37"/>
      <c r="E21" s="37"/>
      <c r="F21" s="37"/>
      <c r="G21" s="11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17"/>
      <c r="S21" s="19"/>
      <c r="T21" s="19"/>
      <c r="U21" s="19"/>
      <c r="V21" s="19"/>
      <c r="W21" s="19"/>
      <c r="X21" s="19"/>
      <c r="Y21" s="19"/>
    </row>
    <row r="22" spans="1:25" ht="14.25" customHeight="1" x14ac:dyDescent="0.25">
      <c r="A22" s="34"/>
      <c r="B22" s="36"/>
      <c r="C22" s="37"/>
      <c r="D22" s="43"/>
      <c r="E22" s="34"/>
      <c r="F22" s="34"/>
      <c r="G22" s="4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19"/>
      <c r="T22" s="19"/>
      <c r="U22" s="19"/>
      <c r="V22" s="19"/>
      <c r="W22" s="19"/>
      <c r="X22" s="19"/>
      <c r="Y22" s="19"/>
    </row>
    <row r="23" spans="1:25" ht="14.25" customHeight="1" x14ac:dyDescent="0.25">
      <c r="A23" s="34"/>
      <c r="B23" s="36"/>
      <c r="C23" s="37"/>
      <c r="D23" s="43"/>
      <c r="E23" s="34"/>
      <c r="F23" s="34"/>
      <c r="G23" s="4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19"/>
      <c r="T23" s="19"/>
      <c r="U23" s="19"/>
      <c r="V23" s="19"/>
      <c r="W23" s="19"/>
      <c r="X23" s="19"/>
      <c r="Y23" s="19"/>
    </row>
    <row r="24" spans="1:25" ht="14.25" customHeight="1" x14ac:dyDescent="0.25">
      <c r="A24" s="34"/>
      <c r="B24" s="36"/>
      <c r="C24" s="37"/>
      <c r="D24" s="43"/>
      <c r="E24" s="34"/>
      <c r="F24" s="34"/>
      <c r="G24" s="4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19"/>
      <c r="T24" s="19"/>
      <c r="U24" s="19"/>
      <c r="V24" s="19"/>
      <c r="W24" s="19"/>
      <c r="X24" s="19"/>
      <c r="Y24" s="19"/>
    </row>
    <row r="25" spans="1:25" ht="14.25" customHeight="1" x14ac:dyDescent="0.25">
      <c r="A25" s="34"/>
      <c r="B25" s="36"/>
      <c r="C25" s="37"/>
      <c r="D25" s="43"/>
      <c r="E25" s="34"/>
      <c r="F25" s="34"/>
      <c r="G25" s="4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19"/>
      <c r="T25" s="19"/>
      <c r="U25" s="19"/>
      <c r="V25" s="19"/>
      <c r="W25" s="19"/>
      <c r="X25" s="19"/>
      <c r="Y25" s="19"/>
    </row>
    <row r="26" spans="1:25" ht="14.25" customHeight="1" x14ac:dyDescent="0.25"/>
    <row r="27" spans="1:25" ht="14.25" customHeight="1" x14ac:dyDescent="0.25"/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4"/>
  <sheetViews>
    <sheetView zoomScale="70" zoomScaleNormal="70" workbookViewId="0">
      <selection activeCell="C14" sqref="C14:R14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21.5703125" customWidth="1"/>
    <col min="8" max="8" width="8.28515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7" customWidth="1"/>
    <col min="19" max="19" width="22.140625" customWidth="1"/>
    <col min="20" max="25" width="10.7109375" customWidth="1"/>
  </cols>
  <sheetData>
    <row r="1" spans="1:25" ht="49.5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>
        <v>3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33"/>
      <c r="U1" s="33"/>
      <c r="V1" s="33"/>
      <c r="W1" s="33"/>
      <c r="X1" s="33"/>
      <c r="Y1" s="33"/>
    </row>
    <row r="2" spans="1:25" ht="14.25" customHeight="1" x14ac:dyDescent="0.25">
      <c r="A2" s="34">
        <v>1</v>
      </c>
      <c r="B2" s="35">
        <v>45141</v>
      </c>
      <c r="C2" s="80" t="s">
        <v>86</v>
      </c>
      <c r="D2" s="80" t="s">
        <v>87</v>
      </c>
      <c r="E2" s="80">
        <v>96</v>
      </c>
      <c r="F2" s="80" t="s">
        <v>30</v>
      </c>
      <c r="G2" s="91">
        <v>45133</v>
      </c>
      <c r="H2" s="80">
        <f>DAYS360(G2,B2)</f>
        <v>7</v>
      </c>
      <c r="I2" s="80" t="s">
        <v>26</v>
      </c>
      <c r="J2" s="80">
        <v>1</v>
      </c>
      <c r="K2" s="80" t="s">
        <v>17</v>
      </c>
      <c r="L2" s="76" t="s">
        <v>41</v>
      </c>
      <c r="M2" s="80"/>
      <c r="N2" s="80"/>
      <c r="O2" s="80" t="s">
        <v>25</v>
      </c>
      <c r="P2" s="80"/>
      <c r="Q2" s="80" t="s">
        <v>88</v>
      </c>
      <c r="R2" s="105" t="s">
        <v>19</v>
      </c>
      <c r="S2" s="19"/>
      <c r="T2" s="19"/>
      <c r="U2" s="19"/>
      <c r="V2" s="19"/>
      <c r="W2" s="19"/>
      <c r="X2" s="19"/>
      <c r="Y2" s="19"/>
    </row>
    <row r="3" spans="1:25" ht="14.25" customHeight="1" x14ac:dyDescent="0.25">
      <c r="A3" s="34">
        <v>2</v>
      </c>
      <c r="B3" s="35">
        <v>45141</v>
      </c>
      <c r="C3" s="80" t="s">
        <v>95</v>
      </c>
      <c r="D3" s="80" t="s">
        <v>96</v>
      </c>
      <c r="E3" s="80">
        <v>74</v>
      </c>
      <c r="F3" s="80" t="s">
        <v>30</v>
      </c>
      <c r="G3" s="91">
        <v>45138</v>
      </c>
      <c r="H3" s="80">
        <f t="shared" ref="H3:H18" si="0">DAYS360(G3,B3)</f>
        <v>3</v>
      </c>
      <c r="I3" s="80" t="s">
        <v>97</v>
      </c>
      <c r="J3" s="80">
        <v>1.5</v>
      </c>
      <c r="K3" s="80" t="s">
        <v>17</v>
      </c>
      <c r="L3" s="76" t="s">
        <v>41</v>
      </c>
      <c r="M3" s="80" t="s">
        <v>44</v>
      </c>
      <c r="N3" s="80"/>
      <c r="O3" s="80"/>
      <c r="P3" s="80"/>
      <c r="Q3" s="80" t="s">
        <v>100</v>
      </c>
      <c r="R3" s="80" t="s">
        <v>19</v>
      </c>
      <c r="S3" s="19"/>
      <c r="T3" s="19"/>
      <c r="U3" s="19"/>
      <c r="V3" s="19"/>
      <c r="W3" s="19"/>
      <c r="X3" s="19"/>
      <c r="Y3" s="19"/>
    </row>
    <row r="4" spans="1:25" ht="14.25" customHeight="1" x14ac:dyDescent="0.25">
      <c r="A4" s="34">
        <v>3</v>
      </c>
      <c r="B4" s="35">
        <v>45141</v>
      </c>
      <c r="C4" s="80" t="s">
        <v>98</v>
      </c>
      <c r="D4" s="80" t="s">
        <v>108</v>
      </c>
      <c r="E4" s="80">
        <v>84</v>
      </c>
      <c r="F4" s="80" t="s">
        <v>40</v>
      </c>
      <c r="G4" s="91">
        <v>45137</v>
      </c>
      <c r="H4" s="80">
        <f t="shared" si="0"/>
        <v>3</v>
      </c>
      <c r="I4" s="80" t="s">
        <v>16</v>
      </c>
      <c r="J4" s="80">
        <v>1</v>
      </c>
      <c r="K4" s="80" t="s">
        <v>17</v>
      </c>
      <c r="L4" s="76" t="s">
        <v>41</v>
      </c>
      <c r="M4" s="80"/>
      <c r="N4" s="80"/>
      <c r="O4" s="80"/>
      <c r="P4" s="80"/>
      <c r="Q4" s="80" t="s">
        <v>101</v>
      </c>
      <c r="R4" s="80" t="s">
        <v>19</v>
      </c>
      <c r="S4" s="19"/>
      <c r="T4" s="19"/>
      <c r="U4" s="19"/>
      <c r="V4" s="19"/>
      <c r="W4" s="19"/>
      <c r="X4" s="19"/>
      <c r="Y4" s="19"/>
    </row>
    <row r="5" spans="1:25" ht="14.25" customHeight="1" x14ac:dyDescent="0.25">
      <c r="A5" s="34">
        <v>4</v>
      </c>
      <c r="B5" s="35">
        <v>45141</v>
      </c>
      <c r="C5" s="80" t="s">
        <v>98</v>
      </c>
      <c r="D5" s="80" t="s">
        <v>99</v>
      </c>
      <c r="E5" s="80">
        <v>85</v>
      </c>
      <c r="F5" s="80" t="s">
        <v>30</v>
      </c>
      <c r="G5" s="91">
        <v>45138</v>
      </c>
      <c r="H5" s="80">
        <f t="shared" si="0"/>
        <v>3</v>
      </c>
      <c r="I5" s="80" t="s">
        <v>16</v>
      </c>
      <c r="J5" s="80">
        <v>1</v>
      </c>
      <c r="K5" s="80" t="s">
        <v>17</v>
      </c>
      <c r="L5" s="76" t="s">
        <v>41</v>
      </c>
      <c r="M5" s="80" t="s">
        <v>44</v>
      </c>
      <c r="N5" s="80"/>
      <c r="O5" s="80"/>
      <c r="P5" s="80"/>
      <c r="Q5" s="80" t="s">
        <v>101</v>
      </c>
      <c r="R5" s="80" t="s">
        <v>19</v>
      </c>
      <c r="S5" s="19"/>
      <c r="T5" s="19"/>
      <c r="U5" s="19"/>
      <c r="V5" s="19"/>
      <c r="W5" s="19"/>
      <c r="X5" s="19"/>
      <c r="Y5" s="19"/>
    </row>
    <row r="6" spans="1:25" ht="15" customHeight="1" x14ac:dyDescent="0.25">
      <c r="A6" s="34">
        <v>5</v>
      </c>
      <c r="B6" s="35">
        <v>45141</v>
      </c>
      <c r="C6" s="80" t="s">
        <v>89</v>
      </c>
      <c r="D6" s="80" t="s">
        <v>90</v>
      </c>
      <c r="E6" s="80">
        <v>58</v>
      </c>
      <c r="F6" s="80" t="s">
        <v>30</v>
      </c>
      <c r="G6" s="91">
        <v>45136</v>
      </c>
      <c r="H6" s="80">
        <f t="shared" si="0"/>
        <v>4</v>
      </c>
      <c r="I6" s="80" t="s">
        <v>24</v>
      </c>
      <c r="J6" s="80">
        <v>1</v>
      </c>
      <c r="K6" s="80" t="s">
        <v>17</v>
      </c>
      <c r="L6" s="76" t="s">
        <v>41</v>
      </c>
      <c r="M6" s="80" t="s">
        <v>46</v>
      </c>
      <c r="N6" s="80"/>
      <c r="O6" s="80"/>
      <c r="P6" s="80"/>
      <c r="Q6" s="80" t="s">
        <v>91</v>
      </c>
      <c r="R6" s="80" t="s">
        <v>19</v>
      </c>
      <c r="S6" s="19"/>
      <c r="T6" s="19"/>
      <c r="U6" s="19"/>
      <c r="V6" s="19"/>
      <c r="W6" s="19"/>
      <c r="X6" s="19"/>
      <c r="Y6" s="19"/>
    </row>
    <row r="7" spans="1:25" ht="14.25" customHeight="1" x14ac:dyDescent="0.25">
      <c r="A7" s="34">
        <v>6</v>
      </c>
      <c r="B7" s="35">
        <v>45141</v>
      </c>
      <c r="C7" s="80" t="s">
        <v>70</v>
      </c>
      <c r="D7" s="80" t="s">
        <v>71</v>
      </c>
      <c r="E7" s="80">
        <v>63</v>
      </c>
      <c r="F7" s="80" t="s">
        <v>30</v>
      </c>
      <c r="G7" s="91">
        <v>45124</v>
      </c>
      <c r="H7" s="80">
        <f t="shared" si="0"/>
        <v>16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 t="s">
        <v>27</v>
      </c>
      <c r="O7" s="80"/>
      <c r="P7" s="80"/>
      <c r="Q7" s="80" t="s">
        <v>72</v>
      </c>
      <c r="R7" s="76" t="s">
        <v>19</v>
      </c>
      <c r="S7" s="19"/>
      <c r="T7" s="19"/>
      <c r="U7" s="19"/>
      <c r="V7" s="19"/>
      <c r="W7" s="19"/>
      <c r="X7" s="19"/>
      <c r="Y7" s="19"/>
    </row>
    <row r="8" spans="1:25" ht="14.25" customHeight="1" x14ac:dyDescent="0.25">
      <c r="A8" s="34">
        <v>7</v>
      </c>
      <c r="B8" s="35">
        <v>45141</v>
      </c>
      <c r="C8" s="77" t="s">
        <v>47</v>
      </c>
      <c r="D8" s="77" t="s">
        <v>48</v>
      </c>
      <c r="E8" s="77">
        <v>73</v>
      </c>
      <c r="F8" s="80" t="s">
        <v>30</v>
      </c>
      <c r="G8" s="95">
        <v>45117</v>
      </c>
      <c r="H8" s="80">
        <f t="shared" si="0"/>
        <v>23</v>
      </c>
      <c r="I8" s="77" t="s">
        <v>16</v>
      </c>
      <c r="J8" s="77">
        <v>1.5</v>
      </c>
      <c r="K8" s="77" t="s">
        <v>17</v>
      </c>
      <c r="L8" s="76" t="s">
        <v>41</v>
      </c>
      <c r="M8" s="77" t="s">
        <v>32</v>
      </c>
      <c r="N8" s="77"/>
      <c r="O8" s="77"/>
      <c r="P8" s="77"/>
      <c r="Q8" s="77" t="s">
        <v>49</v>
      </c>
      <c r="R8" s="76" t="s">
        <v>19</v>
      </c>
      <c r="S8" s="19"/>
      <c r="T8" s="19"/>
      <c r="U8" s="19"/>
      <c r="V8" s="19"/>
      <c r="W8" s="19"/>
      <c r="X8" s="19"/>
      <c r="Y8" s="19"/>
    </row>
    <row r="9" spans="1:25" ht="14.25" customHeight="1" x14ac:dyDescent="0.25">
      <c r="A9" s="34">
        <v>8</v>
      </c>
      <c r="B9" s="35">
        <v>45141</v>
      </c>
      <c r="C9" s="80" t="s">
        <v>53</v>
      </c>
      <c r="D9" s="80" t="s">
        <v>54</v>
      </c>
      <c r="E9" s="80">
        <v>76</v>
      </c>
      <c r="F9" s="80" t="s">
        <v>30</v>
      </c>
      <c r="G9" s="91">
        <v>45118</v>
      </c>
      <c r="H9" s="80">
        <f t="shared" si="0"/>
        <v>22</v>
      </c>
      <c r="I9" s="79" t="s">
        <v>26</v>
      </c>
      <c r="J9" s="80">
        <v>1</v>
      </c>
      <c r="K9" s="80" t="s">
        <v>17</v>
      </c>
      <c r="L9" s="76" t="s">
        <v>41</v>
      </c>
      <c r="M9" s="80"/>
      <c r="N9" s="80" t="s">
        <v>27</v>
      </c>
      <c r="O9" s="80"/>
      <c r="P9" s="80"/>
      <c r="Q9" s="80" t="s">
        <v>55</v>
      </c>
      <c r="R9" s="76" t="s">
        <v>19</v>
      </c>
      <c r="S9" s="19"/>
      <c r="T9" s="19"/>
      <c r="U9" s="19"/>
      <c r="V9" s="19"/>
      <c r="W9" s="19"/>
      <c r="X9" s="19"/>
      <c r="Y9" s="19"/>
    </row>
    <row r="10" spans="1:25" ht="14.25" customHeight="1" x14ac:dyDescent="0.25">
      <c r="A10" s="34">
        <v>9</v>
      </c>
      <c r="B10" s="35">
        <v>45141</v>
      </c>
      <c r="C10" s="83" t="s">
        <v>37</v>
      </c>
      <c r="D10" s="83" t="s">
        <v>38</v>
      </c>
      <c r="E10" s="83">
        <v>32</v>
      </c>
      <c r="F10" s="80" t="s">
        <v>30</v>
      </c>
      <c r="G10" s="97">
        <v>45125</v>
      </c>
      <c r="H10" s="80">
        <f t="shared" si="0"/>
        <v>15</v>
      </c>
      <c r="I10" s="83" t="s">
        <v>24</v>
      </c>
      <c r="J10" s="83">
        <v>0.75</v>
      </c>
      <c r="K10" s="83" t="s">
        <v>39</v>
      </c>
      <c r="L10" s="76" t="s">
        <v>41</v>
      </c>
      <c r="M10" s="83"/>
      <c r="N10" s="83"/>
      <c r="O10" s="83" t="s">
        <v>25</v>
      </c>
      <c r="P10" s="83"/>
      <c r="Q10" s="83" t="s">
        <v>74</v>
      </c>
      <c r="R10" s="76" t="s">
        <v>19</v>
      </c>
      <c r="S10" s="19"/>
      <c r="T10" s="19"/>
      <c r="U10" s="19"/>
      <c r="V10" s="19"/>
      <c r="W10" s="19"/>
      <c r="X10" s="19"/>
      <c r="Y10" s="19"/>
    </row>
    <row r="11" spans="1:25" ht="14.25" customHeight="1" x14ac:dyDescent="0.25">
      <c r="A11" s="34">
        <v>10</v>
      </c>
      <c r="B11" s="35">
        <v>45141</v>
      </c>
      <c r="C11" s="80" t="s">
        <v>89</v>
      </c>
      <c r="D11" s="80" t="s">
        <v>90</v>
      </c>
      <c r="E11" s="80">
        <v>58</v>
      </c>
      <c r="F11" s="80" t="s">
        <v>30</v>
      </c>
      <c r="G11" s="91">
        <v>45136</v>
      </c>
      <c r="H11" s="80">
        <f t="shared" si="0"/>
        <v>4</v>
      </c>
      <c r="I11" s="80" t="s">
        <v>24</v>
      </c>
      <c r="J11" s="80">
        <v>1</v>
      </c>
      <c r="K11" s="80" t="s">
        <v>17</v>
      </c>
      <c r="L11" s="76" t="s">
        <v>41</v>
      </c>
      <c r="M11" s="80"/>
      <c r="N11" s="80" t="s">
        <v>27</v>
      </c>
      <c r="O11" s="80"/>
      <c r="P11" s="80"/>
      <c r="Q11" s="80" t="s">
        <v>91</v>
      </c>
      <c r="R11" s="80" t="s">
        <v>19</v>
      </c>
      <c r="S11" s="19"/>
      <c r="T11" s="19"/>
      <c r="U11" s="19"/>
      <c r="V11" s="19"/>
      <c r="W11" s="19"/>
      <c r="X11" s="19"/>
      <c r="Y11" s="19"/>
    </row>
    <row r="12" spans="1:25" ht="14.25" customHeight="1" x14ac:dyDescent="0.25">
      <c r="A12" s="34">
        <v>11</v>
      </c>
      <c r="B12" s="35">
        <v>45141</v>
      </c>
      <c r="C12" s="80" t="s">
        <v>59</v>
      </c>
      <c r="D12" s="80" t="s">
        <v>60</v>
      </c>
      <c r="E12" s="80">
        <v>72</v>
      </c>
      <c r="F12" s="80" t="s">
        <v>30</v>
      </c>
      <c r="G12" s="91">
        <v>45119</v>
      </c>
      <c r="H12" s="80">
        <f t="shared" si="0"/>
        <v>21</v>
      </c>
      <c r="I12" s="80" t="s">
        <v>22</v>
      </c>
      <c r="J12" s="80">
        <v>1</v>
      </c>
      <c r="K12" s="80" t="s">
        <v>39</v>
      </c>
      <c r="L12" s="76" t="s">
        <v>41</v>
      </c>
      <c r="M12" s="80" t="s">
        <v>44</v>
      </c>
      <c r="N12" s="80"/>
      <c r="O12" s="80"/>
      <c r="P12" s="80"/>
      <c r="Q12" s="90" t="s">
        <v>61</v>
      </c>
      <c r="R12" s="76" t="s">
        <v>19</v>
      </c>
      <c r="S12" s="19"/>
      <c r="T12" s="19"/>
      <c r="U12" s="19"/>
      <c r="V12" s="19"/>
      <c r="W12" s="19"/>
      <c r="X12" s="19"/>
      <c r="Y12" s="19"/>
    </row>
    <row r="13" spans="1:25" ht="14.25" customHeight="1" x14ac:dyDescent="0.25">
      <c r="A13" s="34">
        <v>12</v>
      </c>
      <c r="B13" s="35">
        <v>45141</v>
      </c>
      <c r="C13" s="80" t="s">
        <v>92</v>
      </c>
      <c r="D13" s="80" t="s">
        <v>93</v>
      </c>
      <c r="E13" s="80">
        <v>53</v>
      </c>
      <c r="F13" s="80" t="s">
        <v>30</v>
      </c>
      <c r="G13" s="91">
        <v>45138</v>
      </c>
      <c r="H13" s="80">
        <f t="shared" si="0"/>
        <v>3</v>
      </c>
      <c r="I13" s="80" t="s">
        <v>26</v>
      </c>
      <c r="J13" s="80">
        <v>1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80" t="s">
        <v>94</v>
      </c>
      <c r="R13" s="80" t="s">
        <v>19</v>
      </c>
      <c r="S13" s="19"/>
      <c r="T13" s="19"/>
      <c r="U13" s="19"/>
      <c r="V13" s="19"/>
      <c r="W13" s="19"/>
      <c r="X13" s="19"/>
      <c r="Y13" s="19"/>
    </row>
    <row r="14" spans="1:25" ht="14.25" customHeight="1" x14ac:dyDescent="0.25">
      <c r="A14" s="34">
        <v>13</v>
      </c>
      <c r="B14" s="35">
        <v>45141</v>
      </c>
      <c r="C14" s="80" t="s">
        <v>56</v>
      </c>
      <c r="D14" s="80" t="s">
        <v>57</v>
      </c>
      <c r="E14" s="80">
        <v>78</v>
      </c>
      <c r="F14" s="80" t="s">
        <v>30</v>
      </c>
      <c r="G14" s="91">
        <v>45120</v>
      </c>
      <c r="H14" s="80">
        <f t="shared" si="0"/>
        <v>20</v>
      </c>
      <c r="I14" s="80" t="s">
        <v>26</v>
      </c>
      <c r="J14" s="80">
        <v>1</v>
      </c>
      <c r="K14" s="80" t="s">
        <v>17</v>
      </c>
      <c r="L14" s="76" t="s">
        <v>41</v>
      </c>
      <c r="M14" s="80" t="s">
        <v>52</v>
      </c>
      <c r="N14" s="80"/>
      <c r="O14" s="80"/>
      <c r="P14" s="80"/>
      <c r="Q14" s="80" t="s">
        <v>58</v>
      </c>
      <c r="R14" s="76" t="s">
        <v>19</v>
      </c>
      <c r="S14" s="19"/>
      <c r="T14" s="19"/>
      <c r="U14" s="19"/>
      <c r="V14" s="19"/>
      <c r="W14" s="19"/>
      <c r="X14" s="19"/>
      <c r="Y14" s="19"/>
    </row>
    <row r="15" spans="1:25" ht="14.25" customHeight="1" x14ac:dyDescent="0.25">
      <c r="A15" s="34">
        <v>14</v>
      </c>
      <c r="B15" s="35">
        <v>45141</v>
      </c>
      <c r="C15" s="80" t="s">
        <v>73</v>
      </c>
      <c r="D15" s="80" t="s">
        <v>75</v>
      </c>
      <c r="E15" s="80">
        <v>79</v>
      </c>
      <c r="F15" s="80" t="s">
        <v>30</v>
      </c>
      <c r="G15" s="91">
        <v>45125</v>
      </c>
      <c r="H15" s="80">
        <f t="shared" si="0"/>
        <v>15</v>
      </c>
      <c r="I15" s="80" t="s">
        <v>26</v>
      </c>
      <c r="J15" s="80">
        <v>1</v>
      </c>
      <c r="K15" s="80" t="s">
        <v>39</v>
      </c>
      <c r="L15" s="76" t="s">
        <v>41</v>
      </c>
      <c r="M15" s="80"/>
      <c r="N15" s="80"/>
      <c r="O15" s="80" t="s">
        <v>25</v>
      </c>
      <c r="P15" s="80"/>
      <c r="Q15" s="80" t="s">
        <v>76</v>
      </c>
      <c r="R15" s="76" t="s">
        <v>19</v>
      </c>
      <c r="S15" s="19"/>
      <c r="T15" s="19"/>
      <c r="U15" s="19"/>
      <c r="V15" s="19"/>
      <c r="W15" s="19"/>
      <c r="X15" s="19"/>
      <c r="Y15" s="19"/>
    </row>
    <row r="16" spans="1:25" ht="14.25" customHeight="1" x14ac:dyDescent="0.25">
      <c r="A16" s="34">
        <v>15</v>
      </c>
      <c r="B16" s="35">
        <v>45141</v>
      </c>
      <c r="C16" s="16" t="s">
        <v>102</v>
      </c>
      <c r="D16" s="80" t="s">
        <v>106</v>
      </c>
      <c r="E16" s="80">
        <v>68</v>
      </c>
      <c r="F16" s="80" t="s">
        <v>40</v>
      </c>
      <c r="G16" s="91">
        <v>45140</v>
      </c>
      <c r="H16" s="80">
        <f t="shared" si="0"/>
        <v>1</v>
      </c>
      <c r="I16" s="80" t="s">
        <v>22</v>
      </c>
      <c r="J16" s="80">
        <v>1</v>
      </c>
      <c r="K16" s="80" t="s">
        <v>17</v>
      </c>
      <c r="L16" s="76" t="s">
        <v>41</v>
      </c>
      <c r="M16" s="80" t="s">
        <v>27</v>
      </c>
      <c r="N16" s="80"/>
      <c r="O16" s="80"/>
      <c r="P16" s="80"/>
      <c r="Q16" s="80" t="s">
        <v>107</v>
      </c>
      <c r="R16" s="40" t="s">
        <v>19</v>
      </c>
      <c r="S16" s="19"/>
      <c r="T16" s="19"/>
      <c r="U16" s="19"/>
      <c r="V16" s="19"/>
      <c r="W16" s="19"/>
      <c r="X16" s="19"/>
      <c r="Y16" s="19"/>
    </row>
    <row r="17" spans="1:25" ht="14.25" customHeight="1" x14ac:dyDescent="0.25">
      <c r="A17" s="34">
        <v>16</v>
      </c>
      <c r="B17" s="35">
        <v>45141</v>
      </c>
      <c r="C17" s="16" t="s">
        <v>103</v>
      </c>
      <c r="D17" s="80" t="s">
        <v>104</v>
      </c>
      <c r="E17" s="80">
        <v>82</v>
      </c>
      <c r="F17" s="80" t="s">
        <v>40</v>
      </c>
      <c r="G17" s="91">
        <v>45140</v>
      </c>
      <c r="H17" s="80">
        <f t="shared" si="0"/>
        <v>1</v>
      </c>
      <c r="I17" s="80" t="s">
        <v>22</v>
      </c>
      <c r="J17" s="80">
        <v>1</v>
      </c>
      <c r="K17" s="80" t="s">
        <v>17</v>
      </c>
      <c r="L17" s="76" t="s">
        <v>41</v>
      </c>
      <c r="M17" s="80" t="s">
        <v>27</v>
      </c>
      <c r="N17" s="80"/>
      <c r="O17" s="80"/>
      <c r="P17" s="80"/>
      <c r="Q17" s="80" t="s">
        <v>105</v>
      </c>
      <c r="R17" s="17" t="s">
        <v>19</v>
      </c>
      <c r="S17" s="19"/>
      <c r="T17" s="19"/>
      <c r="U17" s="19"/>
      <c r="V17" s="19"/>
      <c r="W17" s="19"/>
      <c r="X17" s="19"/>
      <c r="Y17" s="19"/>
    </row>
    <row r="18" spans="1:25" ht="14.25" customHeight="1" x14ac:dyDescent="0.25">
      <c r="A18" s="34">
        <v>17</v>
      </c>
      <c r="B18" s="35">
        <v>45141</v>
      </c>
      <c r="C18" s="80" t="s">
        <v>109</v>
      </c>
      <c r="D18" s="80" t="s">
        <v>110</v>
      </c>
      <c r="E18" s="80">
        <v>56</v>
      </c>
      <c r="F18" s="80" t="s">
        <v>40</v>
      </c>
      <c r="G18" s="91">
        <v>45140</v>
      </c>
      <c r="H18" s="80">
        <f t="shared" si="0"/>
        <v>1</v>
      </c>
      <c r="I18" s="80" t="s">
        <v>111</v>
      </c>
      <c r="J18" s="80">
        <v>1.5</v>
      </c>
      <c r="K18" s="80" t="s">
        <v>17</v>
      </c>
      <c r="L18" s="76" t="s">
        <v>41</v>
      </c>
      <c r="M18" s="80" t="s">
        <v>44</v>
      </c>
      <c r="N18" s="80"/>
      <c r="O18" s="80"/>
      <c r="P18" s="80"/>
      <c r="Q18" s="80" t="s">
        <v>112</v>
      </c>
      <c r="R18" s="80" t="s">
        <v>19</v>
      </c>
      <c r="S18" s="19"/>
      <c r="T18" s="19"/>
      <c r="U18" s="19"/>
      <c r="V18" s="19"/>
      <c r="W18" s="19"/>
      <c r="X18" s="19"/>
      <c r="Y18" s="19"/>
    </row>
    <row r="19" spans="1:25" ht="14.25" customHeight="1" x14ac:dyDescent="0.25">
      <c r="A19" s="34"/>
      <c r="B19" s="35"/>
      <c r="C19" s="16"/>
      <c r="D19" s="37"/>
      <c r="E19" s="45"/>
      <c r="F19" s="37"/>
      <c r="G19" s="42"/>
      <c r="H19" s="37"/>
      <c r="I19" s="37"/>
      <c r="J19" s="37"/>
      <c r="K19" s="37"/>
      <c r="L19" s="34"/>
      <c r="M19" s="37"/>
      <c r="N19" s="37"/>
      <c r="O19" s="37"/>
      <c r="P19" s="37"/>
      <c r="Q19" s="37"/>
      <c r="R19" s="17"/>
      <c r="S19" s="19"/>
      <c r="T19" s="19"/>
      <c r="U19" s="19"/>
      <c r="V19" s="19"/>
      <c r="W19" s="19"/>
      <c r="X19" s="19"/>
      <c r="Y19" s="19"/>
    </row>
    <row r="20" spans="1:25" ht="14.25" customHeight="1" x14ac:dyDescent="0.25">
      <c r="A20" s="34"/>
      <c r="B20" s="35"/>
      <c r="C20" s="46"/>
      <c r="D20" s="47"/>
      <c r="E20" s="47"/>
      <c r="F20" s="46"/>
      <c r="G20" s="48"/>
      <c r="H20" s="49"/>
      <c r="I20" s="46"/>
      <c r="J20" s="49"/>
      <c r="K20" s="46"/>
      <c r="L20" s="34"/>
      <c r="M20" s="46"/>
      <c r="N20" s="50"/>
      <c r="O20" s="50"/>
      <c r="P20" s="50"/>
      <c r="Q20" s="46"/>
      <c r="R20" s="17"/>
      <c r="S20" s="19"/>
    </row>
    <row r="21" spans="1:25" ht="14.25" customHeight="1" x14ac:dyDescent="0.25">
      <c r="A21" s="34"/>
      <c r="B21" s="35"/>
      <c r="C21" s="51"/>
      <c r="D21" s="51"/>
      <c r="E21" s="52"/>
      <c r="F21" s="51"/>
      <c r="G21" s="53"/>
      <c r="H21" s="54"/>
      <c r="I21" s="51"/>
      <c r="J21" s="54"/>
      <c r="K21" s="51"/>
      <c r="L21" s="34"/>
      <c r="M21" s="51"/>
      <c r="N21" s="51"/>
      <c r="O21" s="51"/>
      <c r="P21" s="51"/>
      <c r="Q21" s="51"/>
      <c r="R21" s="10"/>
      <c r="S21" s="19"/>
    </row>
    <row r="22" spans="1:25" ht="14.25" customHeight="1" x14ac:dyDescent="0.25">
      <c r="A22" s="34"/>
      <c r="B22" s="35"/>
      <c r="C22" s="51"/>
      <c r="D22" s="51"/>
      <c r="E22" s="52"/>
      <c r="F22" s="51"/>
      <c r="G22" s="53"/>
      <c r="H22" s="54"/>
      <c r="I22" s="51"/>
      <c r="J22" s="54"/>
      <c r="K22" s="51"/>
      <c r="L22" s="34"/>
      <c r="M22" s="51"/>
      <c r="N22" s="51"/>
      <c r="O22" s="51"/>
      <c r="P22" s="51"/>
      <c r="Q22" s="51"/>
      <c r="R22" s="10"/>
      <c r="S22" s="19"/>
    </row>
    <row r="23" spans="1:25" ht="14.25" customHeight="1" x14ac:dyDescent="0.25">
      <c r="A23" s="34"/>
      <c r="B23" s="35"/>
      <c r="C23" s="46"/>
      <c r="D23" s="47"/>
      <c r="E23" s="47"/>
      <c r="F23" s="46"/>
      <c r="G23" s="48"/>
      <c r="H23" s="49"/>
      <c r="I23" s="46"/>
      <c r="J23" s="49"/>
      <c r="K23" s="46"/>
      <c r="L23" s="46"/>
      <c r="M23" s="46"/>
      <c r="N23" s="50"/>
      <c r="O23" s="50"/>
      <c r="P23" s="50"/>
      <c r="Q23" s="46"/>
      <c r="R23" s="49"/>
      <c r="S23" s="19"/>
    </row>
    <row r="24" spans="1:25" ht="14.25" customHeight="1" x14ac:dyDescent="0.25">
      <c r="A24" s="34"/>
      <c r="B24" s="35"/>
      <c r="C24" s="55"/>
      <c r="D24" s="55"/>
      <c r="E24" s="56"/>
      <c r="F24" s="55"/>
      <c r="G24" s="57"/>
      <c r="H24" s="58"/>
      <c r="I24" s="55"/>
      <c r="J24" s="58"/>
      <c r="K24" s="4"/>
      <c r="L24" s="55"/>
      <c r="M24" s="55"/>
      <c r="N24" s="55"/>
      <c r="O24" s="55"/>
      <c r="P24" s="55"/>
      <c r="Q24" s="55"/>
      <c r="R24" s="6"/>
      <c r="S24" s="19"/>
    </row>
    <row r="25" spans="1:25" ht="14.25" customHeight="1" x14ac:dyDescent="0.25">
      <c r="A25" s="34"/>
      <c r="B25" s="19"/>
      <c r="C25" s="19"/>
      <c r="D25" s="19"/>
      <c r="E25" s="19"/>
      <c r="F25" s="19"/>
      <c r="G25" s="19"/>
      <c r="H25" s="28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5" ht="14.25" customHeight="1" x14ac:dyDescent="0.25"/>
    <row r="27" spans="1:25" ht="14.25" customHeight="1" x14ac:dyDescent="0.25"/>
    <row r="28" spans="1:25" ht="14.25" customHeight="1" x14ac:dyDescent="0.25"/>
    <row r="29" spans="1:25" ht="14.25" customHeight="1" x14ac:dyDescent="0.25"/>
    <row r="30" spans="1:25" ht="14.25" customHeight="1" x14ac:dyDescent="0.25"/>
    <row r="31" spans="1:25" ht="14.25" customHeight="1" x14ac:dyDescent="0.25"/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</sheetData>
  <phoneticPr fontId="6" type="noConversion"/>
  <pageMargins left="0.7" right="0.7" top="0.75" bottom="0.75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zoomScale="60" zoomScaleNormal="60" workbookViewId="0">
      <selection activeCell="O41" activeCellId="1" sqref="C10:S10 M41:O48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7.42578125" style="98" customWidth="1"/>
    <col min="8" max="8" width="8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7" customWidth="1"/>
    <col min="19" max="19" width="22.140625" customWidth="1"/>
    <col min="20" max="25" width="10.7109375" customWidth="1"/>
  </cols>
  <sheetData>
    <row r="1" spans="1:25" ht="29.25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>
        <v>3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33"/>
      <c r="U1" s="33"/>
      <c r="V1" s="33"/>
      <c r="W1" s="33"/>
      <c r="X1" s="33"/>
      <c r="Y1" s="33"/>
    </row>
    <row r="2" spans="1:25" ht="14.25" customHeight="1" x14ac:dyDescent="0.25">
      <c r="A2" s="28">
        <v>1</v>
      </c>
      <c r="B2" s="21">
        <v>45142</v>
      </c>
      <c r="C2" s="80" t="s">
        <v>62</v>
      </c>
      <c r="D2" s="80" t="s">
        <v>63</v>
      </c>
      <c r="E2" s="80">
        <v>65</v>
      </c>
      <c r="F2" s="86" t="s">
        <v>30</v>
      </c>
      <c r="G2" s="81">
        <v>45119</v>
      </c>
      <c r="H2" s="82">
        <f>DAYS360(G2,B2)</f>
        <v>22</v>
      </c>
      <c r="I2" s="80" t="s">
        <v>26</v>
      </c>
      <c r="J2" s="80">
        <v>1</v>
      </c>
      <c r="K2" s="80" t="s">
        <v>17</v>
      </c>
      <c r="L2" s="76" t="s">
        <v>41</v>
      </c>
      <c r="M2" s="80" t="s">
        <v>27</v>
      </c>
      <c r="N2" s="80"/>
      <c r="O2" s="80"/>
      <c r="P2" s="80"/>
      <c r="Q2" s="80" t="s">
        <v>64</v>
      </c>
      <c r="R2" s="19" t="s">
        <v>19</v>
      </c>
      <c r="S2" s="19"/>
    </row>
    <row r="3" spans="1:25" ht="14.25" customHeight="1" x14ac:dyDescent="0.25">
      <c r="A3" s="28">
        <v>2</v>
      </c>
      <c r="B3" s="21">
        <v>45141</v>
      </c>
      <c r="C3" s="16" t="s">
        <v>103</v>
      </c>
      <c r="D3" s="80" t="s">
        <v>114</v>
      </c>
      <c r="E3" s="80">
        <v>81</v>
      </c>
      <c r="F3" s="86" t="s">
        <v>30</v>
      </c>
      <c r="G3" s="81">
        <v>45139</v>
      </c>
      <c r="H3" s="82">
        <f t="shared" ref="H3:H20" si="0">DAYS360(G3,B3)</f>
        <v>2</v>
      </c>
      <c r="I3" s="80" t="s">
        <v>22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105</v>
      </c>
      <c r="R3" s="19" t="s">
        <v>19</v>
      </c>
      <c r="S3" s="19"/>
    </row>
    <row r="4" spans="1:25" ht="14.25" customHeight="1" x14ac:dyDescent="0.25">
      <c r="A4" s="28">
        <v>3</v>
      </c>
      <c r="B4" s="21">
        <v>45142</v>
      </c>
      <c r="C4" s="16" t="s">
        <v>103</v>
      </c>
      <c r="D4" s="80" t="s">
        <v>104</v>
      </c>
      <c r="E4" s="80">
        <v>82</v>
      </c>
      <c r="F4" s="86" t="s">
        <v>30</v>
      </c>
      <c r="G4" s="81">
        <v>45140</v>
      </c>
      <c r="H4" s="82">
        <f t="shared" si="0"/>
        <v>2</v>
      </c>
      <c r="I4" s="80" t="s">
        <v>22</v>
      </c>
      <c r="J4" s="80">
        <v>1</v>
      </c>
      <c r="K4" s="80" t="s">
        <v>17</v>
      </c>
      <c r="L4" s="76" t="s">
        <v>41</v>
      </c>
      <c r="M4" s="80" t="s">
        <v>27</v>
      </c>
      <c r="N4" s="80"/>
      <c r="O4" s="80"/>
      <c r="P4" s="80"/>
      <c r="Q4" s="80" t="s">
        <v>105</v>
      </c>
      <c r="R4" s="19" t="s">
        <v>19</v>
      </c>
      <c r="S4" s="19"/>
    </row>
    <row r="5" spans="1:25" ht="14.25" customHeight="1" x14ac:dyDescent="0.25">
      <c r="A5" s="28">
        <v>4</v>
      </c>
      <c r="B5" s="21">
        <v>45142</v>
      </c>
      <c r="C5" s="80" t="s">
        <v>109</v>
      </c>
      <c r="D5" s="80" t="s">
        <v>110</v>
      </c>
      <c r="E5" s="80">
        <v>56</v>
      </c>
      <c r="F5" s="86" t="s">
        <v>30</v>
      </c>
      <c r="G5" s="81">
        <v>45140</v>
      </c>
      <c r="H5" s="82">
        <f t="shared" si="0"/>
        <v>2</v>
      </c>
      <c r="I5" s="80" t="s">
        <v>111</v>
      </c>
      <c r="J5" s="80">
        <v>1.5</v>
      </c>
      <c r="K5" s="80" t="s">
        <v>17</v>
      </c>
      <c r="L5" s="76" t="s">
        <v>41</v>
      </c>
      <c r="M5" s="80" t="s">
        <v>44</v>
      </c>
      <c r="N5" s="80"/>
      <c r="O5" s="80"/>
      <c r="P5" s="80"/>
      <c r="Q5" s="80" t="s">
        <v>112</v>
      </c>
      <c r="R5" s="19" t="s">
        <v>19</v>
      </c>
      <c r="S5" s="19"/>
    </row>
    <row r="6" spans="1:25" ht="14.25" customHeight="1" x14ac:dyDescent="0.25">
      <c r="A6" s="28">
        <v>5</v>
      </c>
      <c r="B6" s="21">
        <v>45142</v>
      </c>
      <c r="C6" s="80" t="s">
        <v>83</v>
      </c>
      <c r="D6" s="80" t="s">
        <v>84</v>
      </c>
      <c r="E6" s="80">
        <v>81</v>
      </c>
      <c r="F6" s="86" t="s">
        <v>30</v>
      </c>
      <c r="G6" s="81">
        <v>45129</v>
      </c>
      <c r="H6" s="82">
        <f t="shared" si="0"/>
        <v>12</v>
      </c>
      <c r="I6" s="80" t="s">
        <v>26</v>
      </c>
      <c r="J6" s="80">
        <v>1</v>
      </c>
      <c r="K6" s="80" t="s">
        <v>17</v>
      </c>
      <c r="L6" s="76" t="s">
        <v>41</v>
      </c>
      <c r="M6" s="80"/>
      <c r="N6" s="80" t="s">
        <v>52</v>
      </c>
      <c r="O6" s="80"/>
      <c r="P6" s="80"/>
      <c r="Q6" s="80" t="s">
        <v>85</v>
      </c>
      <c r="R6" s="19" t="s">
        <v>19</v>
      </c>
      <c r="S6" s="19"/>
    </row>
    <row r="7" spans="1:25" ht="14.25" customHeight="1" x14ac:dyDescent="0.25">
      <c r="A7" s="28">
        <v>6</v>
      </c>
      <c r="B7" s="21">
        <v>45142</v>
      </c>
      <c r="C7" s="80" t="s">
        <v>86</v>
      </c>
      <c r="D7" s="80" t="s">
        <v>87</v>
      </c>
      <c r="E7" s="80">
        <v>96</v>
      </c>
      <c r="F7" s="86" t="s">
        <v>30</v>
      </c>
      <c r="G7" s="81">
        <v>45133</v>
      </c>
      <c r="H7" s="82">
        <f t="shared" si="0"/>
        <v>8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/>
      <c r="O7" s="80" t="s">
        <v>25</v>
      </c>
      <c r="P7" s="80"/>
      <c r="Q7" s="80" t="s">
        <v>88</v>
      </c>
      <c r="R7" s="19" t="s">
        <v>19</v>
      </c>
      <c r="S7" s="19"/>
    </row>
    <row r="8" spans="1:25" ht="14.25" customHeight="1" x14ac:dyDescent="0.25">
      <c r="A8" s="28">
        <v>7</v>
      </c>
      <c r="B8" s="21">
        <v>45142</v>
      </c>
      <c r="C8" s="80" t="s">
        <v>70</v>
      </c>
      <c r="D8" s="80" t="s">
        <v>71</v>
      </c>
      <c r="E8" s="80">
        <v>63</v>
      </c>
      <c r="F8" s="86" t="s">
        <v>30</v>
      </c>
      <c r="G8" s="81">
        <v>45124</v>
      </c>
      <c r="H8" s="82">
        <f t="shared" si="0"/>
        <v>17</v>
      </c>
      <c r="I8" s="80" t="s">
        <v>26</v>
      </c>
      <c r="J8" s="80">
        <v>1</v>
      </c>
      <c r="K8" s="80" t="s">
        <v>17</v>
      </c>
      <c r="L8" s="76" t="s">
        <v>41</v>
      </c>
      <c r="M8" s="80"/>
      <c r="N8" s="80" t="s">
        <v>27</v>
      </c>
      <c r="O8" s="80"/>
      <c r="P8" s="80"/>
      <c r="Q8" s="80" t="s">
        <v>72</v>
      </c>
      <c r="R8" s="19" t="s">
        <v>19</v>
      </c>
      <c r="S8" s="19"/>
    </row>
    <row r="9" spans="1:25" ht="14.25" customHeight="1" x14ac:dyDescent="0.25">
      <c r="A9" s="28">
        <v>8</v>
      </c>
      <c r="B9" s="21">
        <v>45142</v>
      </c>
      <c r="C9" s="80" t="s">
        <v>89</v>
      </c>
      <c r="D9" s="80" t="s">
        <v>90</v>
      </c>
      <c r="E9" s="80">
        <v>58</v>
      </c>
      <c r="F9" s="86" t="s">
        <v>30</v>
      </c>
      <c r="G9" s="81">
        <v>45136</v>
      </c>
      <c r="H9" s="82">
        <f t="shared" si="0"/>
        <v>5</v>
      </c>
      <c r="I9" s="80" t="s">
        <v>24</v>
      </c>
      <c r="J9" s="80">
        <v>1</v>
      </c>
      <c r="K9" s="80" t="s">
        <v>17</v>
      </c>
      <c r="L9" s="76" t="s">
        <v>41</v>
      </c>
      <c r="M9" s="80" t="s">
        <v>46</v>
      </c>
      <c r="N9" s="80"/>
      <c r="O9" s="80"/>
      <c r="P9" s="80"/>
      <c r="Q9" s="80" t="s">
        <v>91</v>
      </c>
      <c r="R9" s="19" t="s">
        <v>19</v>
      </c>
      <c r="S9" s="19"/>
    </row>
    <row r="10" spans="1:25" ht="14.25" customHeight="1" x14ac:dyDescent="0.25">
      <c r="A10" s="28">
        <v>9</v>
      </c>
      <c r="B10" s="21">
        <v>45142</v>
      </c>
      <c r="C10" s="85" t="s">
        <v>42</v>
      </c>
      <c r="D10" s="86" t="s">
        <v>43</v>
      </c>
      <c r="E10" s="86">
        <v>41</v>
      </c>
      <c r="F10" s="86" t="s">
        <v>30</v>
      </c>
      <c r="G10" s="18">
        <v>45114</v>
      </c>
      <c r="H10" s="82">
        <f t="shared" si="0"/>
        <v>27</v>
      </c>
      <c r="I10" s="86" t="s">
        <v>22</v>
      </c>
      <c r="J10" s="86">
        <v>1</v>
      </c>
      <c r="K10" s="86" t="s">
        <v>39</v>
      </c>
      <c r="L10" s="76" t="s">
        <v>41</v>
      </c>
      <c r="M10" s="86" t="s">
        <v>44</v>
      </c>
      <c r="N10" s="86"/>
      <c r="O10" s="86"/>
      <c r="P10" s="86"/>
      <c r="Q10" s="86" t="s">
        <v>45</v>
      </c>
      <c r="R10" s="19" t="s">
        <v>19</v>
      </c>
      <c r="S10" s="19"/>
    </row>
    <row r="11" spans="1:25" ht="14.25" customHeight="1" x14ac:dyDescent="0.25">
      <c r="A11" s="28">
        <v>10</v>
      </c>
      <c r="B11" s="21">
        <v>45142</v>
      </c>
      <c r="C11" s="80" t="s">
        <v>53</v>
      </c>
      <c r="D11" s="80" t="s">
        <v>54</v>
      </c>
      <c r="E11" s="80">
        <v>76</v>
      </c>
      <c r="F11" s="86" t="s">
        <v>30</v>
      </c>
      <c r="G11" s="81">
        <v>45118</v>
      </c>
      <c r="H11" s="82">
        <f t="shared" si="0"/>
        <v>23</v>
      </c>
      <c r="I11" s="79" t="s">
        <v>26</v>
      </c>
      <c r="J11" s="80">
        <v>1</v>
      </c>
      <c r="K11" s="80" t="s">
        <v>17</v>
      </c>
      <c r="L11" s="76" t="s">
        <v>41</v>
      </c>
      <c r="M11" s="80" t="s">
        <v>52</v>
      </c>
      <c r="N11" s="80"/>
      <c r="O11" s="80"/>
      <c r="P11" s="80"/>
      <c r="Q11" s="80" t="s">
        <v>55</v>
      </c>
      <c r="R11" s="19" t="s">
        <v>19</v>
      </c>
      <c r="S11" s="19"/>
    </row>
    <row r="12" spans="1:25" ht="14.25" customHeight="1" x14ac:dyDescent="0.25">
      <c r="A12" s="28">
        <v>11</v>
      </c>
      <c r="B12" s="21">
        <v>45142</v>
      </c>
      <c r="C12" s="83" t="s">
        <v>37</v>
      </c>
      <c r="D12" s="83" t="s">
        <v>38</v>
      </c>
      <c r="E12" s="83">
        <v>32</v>
      </c>
      <c r="F12" s="86" t="s">
        <v>30</v>
      </c>
      <c r="G12" s="109">
        <v>45125</v>
      </c>
      <c r="H12" s="82">
        <f t="shared" si="0"/>
        <v>16</v>
      </c>
      <c r="I12" s="83" t="s">
        <v>24</v>
      </c>
      <c r="J12" s="83">
        <v>1</v>
      </c>
      <c r="K12" s="83" t="s">
        <v>39</v>
      </c>
      <c r="L12" s="76" t="s">
        <v>41</v>
      </c>
      <c r="M12" s="83"/>
      <c r="N12" s="83"/>
      <c r="O12" s="83" t="s">
        <v>25</v>
      </c>
      <c r="P12" s="83"/>
      <c r="Q12" s="83" t="s">
        <v>74</v>
      </c>
      <c r="R12" s="19" t="s">
        <v>19</v>
      </c>
      <c r="S12" s="19"/>
    </row>
    <row r="13" spans="1:25" ht="14.25" customHeight="1" x14ac:dyDescent="0.25">
      <c r="A13" s="28">
        <v>12</v>
      </c>
      <c r="B13" s="21">
        <v>45142</v>
      </c>
      <c r="C13" s="80" t="s">
        <v>92</v>
      </c>
      <c r="D13" s="80" t="s">
        <v>93</v>
      </c>
      <c r="E13" s="80">
        <v>53</v>
      </c>
      <c r="F13" s="86" t="s">
        <v>30</v>
      </c>
      <c r="G13" s="81">
        <v>45138</v>
      </c>
      <c r="H13" s="82">
        <f t="shared" si="0"/>
        <v>4</v>
      </c>
      <c r="I13" s="80" t="s">
        <v>26</v>
      </c>
      <c r="J13" s="80">
        <v>1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80" t="s">
        <v>94</v>
      </c>
      <c r="R13" s="19" t="s">
        <v>19</v>
      </c>
      <c r="S13" s="19"/>
    </row>
    <row r="14" spans="1:25" ht="14.25" customHeight="1" x14ac:dyDescent="0.25">
      <c r="A14" s="28">
        <v>13</v>
      </c>
      <c r="B14" s="21">
        <v>45142</v>
      </c>
      <c r="C14" s="77" t="s">
        <v>47</v>
      </c>
      <c r="D14" s="77" t="s">
        <v>48</v>
      </c>
      <c r="E14" s="77">
        <v>73</v>
      </c>
      <c r="F14" s="86" t="s">
        <v>30</v>
      </c>
      <c r="G14" s="108">
        <v>45117</v>
      </c>
      <c r="H14" s="82">
        <f t="shared" si="0"/>
        <v>24</v>
      </c>
      <c r="I14" s="77" t="s">
        <v>16</v>
      </c>
      <c r="J14" s="77">
        <v>1.5</v>
      </c>
      <c r="K14" s="77" t="s">
        <v>17</v>
      </c>
      <c r="L14" s="76" t="s">
        <v>41</v>
      </c>
      <c r="M14" s="77" t="s">
        <v>32</v>
      </c>
      <c r="N14" s="77"/>
      <c r="O14" s="77"/>
      <c r="P14" s="77"/>
      <c r="Q14" s="77" t="s">
        <v>49</v>
      </c>
      <c r="R14" s="19" t="s">
        <v>19</v>
      </c>
      <c r="S14" s="19"/>
    </row>
    <row r="15" spans="1:25" ht="14.25" customHeight="1" x14ac:dyDescent="0.25">
      <c r="A15" s="28">
        <v>14</v>
      </c>
      <c r="B15" s="21">
        <v>45142</v>
      </c>
      <c r="C15" s="80" t="s">
        <v>56</v>
      </c>
      <c r="D15" s="80" t="s">
        <v>57</v>
      </c>
      <c r="E15" s="80">
        <v>78</v>
      </c>
      <c r="F15" s="86" t="s">
        <v>30</v>
      </c>
      <c r="G15" s="81">
        <v>45120</v>
      </c>
      <c r="H15" s="82">
        <f t="shared" si="0"/>
        <v>21</v>
      </c>
      <c r="I15" s="80" t="s">
        <v>26</v>
      </c>
      <c r="J15" s="80">
        <v>1</v>
      </c>
      <c r="K15" s="80" t="s">
        <v>17</v>
      </c>
      <c r="L15" s="76" t="s">
        <v>41</v>
      </c>
      <c r="M15" s="80" t="s">
        <v>52</v>
      </c>
      <c r="N15" s="80"/>
      <c r="O15" s="80"/>
      <c r="P15" s="80"/>
      <c r="Q15" s="80" t="s">
        <v>58</v>
      </c>
      <c r="R15" s="19" t="s">
        <v>19</v>
      </c>
      <c r="S15" s="19"/>
    </row>
    <row r="16" spans="1:25" ht="14.25" customHeight="1" x14ac:dyDescent="0.25">
      <c r="A16" s="28">
        <v>15</v>
      </c>
      <c r="B16" s="21">
        <v>45142</v>
      </c>
      <c r="C16" s="80" t="s">
        <v>56</v>
      </c>
      <c r="D16" s="80" t="s">
        <v>57</v>
      </c>
      <c r="E16" s="80">
        <v>78</v>
      </c>
      <c r="F16" s="86" t="s">
        <v>30</v>
      </c>
      <c r="G16" s="81">
        <v>45120</v>
      </c>
      <c r="H16" s="82">
        <f t="shared" si="0"/>
        <v>21</v>
      </c>
      <c r="I16" s="80" t="s">
        <v>26</v>
      </c>
      <c r="J16" s="80">
        <v>1</v>
      </c>
      <c r="K16" s="80" t="s">
        <v>17</v>
      </c>
      <c r="L16" s="76" t="s">
        <v>41</v>
      </c>
      <c r="M16" s="80" t="s">
        <v>52</v>
      </c>
      <c r="N16" s="80"/>
      <c r="O16" s="80"/>
      <c r="P16" s="80"/>
      <c r="Q16" s="80" t="s">
        <v>58</v>
      </c>
      <c r="R16" s="19" t="s">
        <v>19</v>
      </c>
      <c r="S16" s="19"/>
    </row>
    <row r="17" spans="1:19" ht="14.25" customHeight="1" x14ac:dyDescent="0.25">
      <c r="A17" s="28">
        <v>16</v>
      </c>
      <c r="B17" s="21">
        <v>45142</v>
      </c>
      <c r="C17" s="16" t="s">
        <v>102</v>
      </c>
      <c r="D17" s="80" t="s">
        <v>106</v>
      </c>
      <c r="E17" s="80">
        <v>68</v>
      </c>
      <c r="F17" s="86" t="s">
        <v>30</v>
      </c>
      <c r="G17" s="81">
        <v>45140</v>
      </c>
      <c r="H17" s="82">
        <f t="shared" si="0"/>
        <v>2</v>
      </c>
      <c r="I17" s="80" t="s">
        <v>22</v>
      </c>
      <c r="J17" s="80">
        <v>1</v>
      </c>
      <c r="K17" s="80" t="s">
        <v>17</v>
      </c>
      <c r="L17" s="76" t="s">
        <v>41</v>
      </c>
      <c r="M17" s="80" t="s">
        <v>27</v>
      </c>
      <c r="N17" s="80"/>
      <c r="O17" s="80"/>
      <c r="P17" s="80"/>
      <c r="Q17" s="80" t="s">
        <v>107</v>
      </c>
      <c r="R17" s="19" t="s">
        <v>19</v>
      </c>
      <c r="S17" s="19"/>
    </row>
    <row r="18" spans="1:19" ht="14.25" customHeight="1" x14ac:dyDescent="0.25">
      <c r="A18" s="28">
        <v>17</v>
      </c>
      <c r="B18" s="21">
        <v>45142</v>
      </c>
      <c r="C18" s="80" t="s">
        <v>79</v>
      </c>
      <c r="D18" s="80" t="s">
        <v>80</v>
      </c>
      <c r="E18" s="80">
        <v>66</v>
      </c>
      <c r="F18" s="86" t="s">
        <v>30</v>
      </c>
      <c r="G18" s="81">
        <v>45128</v>
      </c>
      <c r="H18" s="82">
        <f t="shared" si="0"/>
        <v>13</v>
      </c>
      <c r="I18" s="80" t="s">
        <v>16</v>
      </c>
      <c r="J18" s="80">
        <v>1</v>
      </c>
      <c r="K18" s="80" t="s">
        <v>17</v>
      </c>
      <c r="L18" s="76" t="s">
        <v>41</v>
      </c>
      <c r="M18" s="80" t="s">
        <v>27</v>
      </c>
      <c r="N18" s="80"/>
      <c r="O18" s="80"/>
      <c r="P18" s="80"/>
      <c r="Q18" s="80" t="s">
        <v>76</v>
      </c>
      <c r="R18" s="19" t="s">
        <v>19</v>
      </c>
      <c r="S18" s="19"/>
    </row>
    <row r="19" spans="1:19" ht="14.25" customHeight="1" x14ac:dyDescent="0.25">
      <c r="A19" s="28">
        <v>18</v>
      </c>
      <c r="B19" s="21">
        <v>45142</v>
      </c>
      <c r="C19" s="80" t="s">
        <v>113</v>
      </c>
      <c r="D19" s="80" t="s">
        <v>115</v>
      </c>
      <c r="E19" s="80">
        <v>60</v>
      </c>
      <c r="F19" s="86" t="s">
        <v>30</v>
      </c>
      <c r="G19" s="81">
        <v>45141</v>
      </c>
      <c r="H19" s="82">
        <f t="shared" si="0"/>
        <v>1</v>
      </c>
      <c r="I19" s="80" t="s">
        <v>26</v>
      </c>
      <c r="J19" s="80">
        <v>1</v>
      </c>
      <c r="K19" s="80" t="s">
        <v>17</v>
      </c>
      <c r="L19" s="76" t="s">
        <v>41</v>
      </c>
      <c r="M19" s="80" t="s">
        <v>52</v>
      </c>
      <c r="N19" s="80"/>
      <c r="O19" s="80"/>
      <c r="P19" s="80"/>
      <c r="Q19" s="80" t="s">
        <v>116</v>
      </c>
      <c r="R19" s="80" t="s">
        <v>19</v>
      </c>
      <c r="S19" s="19"/>
    </row>
    <row r="20" spans="1:19" ht="14.25" customHeight="1" x14ac:dyDescent="0.25">
      <c r="A20" s="28">
        <v>19</v>
      </c>
      <c r="B20" s="21">
        <v>45142</v>
      </c>
      <c r="C20" s="80" t="s">
        <v>113</v>
      </c>
      <c r="D20" s="80" t="s">
        <v>120</v>
      </c>
      <c r="E20" s="80">
        <v>61</v>
      </c>
      <c r="F20" s="86" t="s">
        <v>30</v>
      </c>
      <c r="G20" s="81">
        <v>45141</v>
      </c>
      <c r="H20" s="82">
        <f t="shared" si="0"/>
        <v>1</v>
      </c>
      <c r="I20" s="80" t="s">
        <v>26</v>
      </c>
      <c r="J20" s="80">
        <v>1</v>
      </c>
      <c r="K20" s="80" t="s">
        <v>17</v>
      </c>
      <c r="L20" s="76" t="s">
        <v>41</v>
      </c>
      <c r="M20" s="80"/>
      <c r="N20" s="80" t="s">
        <v>27</v>
      </c>
      <c r="O20" s="80"/>
      <c r="P20" s="80"/>
      <c r="Q20" s="80" t="s">
        <v>116</v>
      </c>
      <c r="R20" s="80" t="s">
        <v>19</v>
      </c>
      <c r="S20" s="19"/>
    </row>
    <row r="21" spans="1:19" ht="14.25" customHeight="1" x14ac:dyDescent="0.25">
      <c r="A21" s="28"/>
      <c r="B21" s="21"/>
      <c r="C21" s="58"/>
      <c r="D21" s="58"/>
      <c r="E21" s="58"/>
      <c r="F21" s="28"/>
      <c r="G21" s="119"/>
      <c r="H21" s="58"/>
      <c r="I21" s="58"/>
      <c r="J21" s="58"/>
      <c r="K21" s="58"/>
      <c r="L21" s="28"/>
      <c r="M21" s="58"/>
      <c r="N21" s="58"/>
      <c r="O21" s="58"/>
      <c r="P21" s="58"/>
      <c r="Q21" s="9"/>
      <c r="R21" s="60"/>
      <c r="S21" s="19"/>
    </row>
    <row r="22" spans="1:19" ht="14.25" customHeight="1" x14ac:dyDescent="0.25">
      <c r="A22" s="28"/>
      <c r="B22" s="21"/>
      <c r="C22" s="51"/>
      <c r="D22" s="51"/>
      <c r="E22" s="54"/>
      <c r="F22" s="54"/>
      <c r="G22" s="120"/>
      <c r="H22" s="54"/>
      <c r="I22" s="54"/>
      <c r="J22" s="54"/>
      <c r="K22" s="54"/>
      <c r="L22" s="28"/>
      <c r="M22" s="54"/>
      <c r="N22" s="54"/>
      <c r="O22" s="54"/>
      <c r="P22" s="54"/>
      <c r="Q22" s="51"/>
      <c r="R22" s="10"/>
      <c r="S22" s="19"/>
    </row>
    <row r="23" spans="1:19" ht="14.25" customHeight="1" x14ac:dyDescent="0.25">
      <c r="A23" s="28"/>
      <c r="B23" s="21"/>
      <c r="C23" s="19"/>
      <c r="D23" s="19"/>
      <c r="E23" s="28"/>
      <c r="F23" s="54"/>
      <c r="G23" s="106"/>
      <c r="H23" s="28"/>
      <c r="I23" s="28"/>
      <c r="J23" s="54"/>
      <c r="K23" s="28"/>
      <c r="L23" s="28"/>
      <c r="M23" s="28"/>
      <c r="N23" s="28"/>
      <c r="O23" s="28"/>
      <c r="P23" s="28"/>
      <c r="Q23" s="19"/>
      <c r="R23" s="11"/>
      <c r="S23" s="19"/>
    </row>
    <row r="24" spans="1:19" ht="14.25" customHeight="1" x14ac:dyDescent="0.25">
      <c r="A24" s="28"/>
      <c r="B24" s="21"/>
      <c r="C24" s="19"/>
      <c r="D24" s="19"/>
      <c r="E24" s="28"/>
      <c r="F24" s="54"/>
      <c r="G24" s="106"/>
      <c r="H24" s="28"/>
      <c r="I24" s="28"/>
      <c r="J24" s="54"/>
      <c r="K24" s="28"/>
      <c r="L24" s="28"/>
      <c r="M24" s="28"/>
      <c r="N24" s="28"/>
      <c r="O24" s="28"/>
      <c r="P24" s="28"/>
      <c r="Q24" s="19"/>
      <c r="R24" s="11"/>
      <c r="S24" s="19"/>
    </row>
    <row r="25" spans="1:19" ht="14.25" customHeight="1" x14ac:dyDescent="0.25">
      <c r="A25" s="28"/>
      <c r="B25" s="21"/>
      <c r="C25" s="19"/>
      <c r="D25" s="19"/>
      <c r="E25" s="28"/>
      <c r="F25" s="54"/>
      <c r="G25" s="106"/>
      <c r="H25" s="28"/>
      <c r="I25" s="28"/>
      <c r="J25" s="54"/>
      <c r="K25" s="28"/>
      <c r="L25" s="28"/>
      <c r="M25" s="28"/>
      <c r="N25" s="28"/>
      <c r="O25" s="28"/>
      <c r="P25" s="28"/>
      <c r="Q25" s="19"/>
      <c r="R25" s="11"/>
      <c r="S25" s="19"/>
    </row>
    <row r="26" spans="1:19" ht="14.25" customHeight="1" x14ac:dyDescent="0.25">
      <c r="A26" s="28"/>
      <c r="B26" s="21"/>
      <c r="C26" s="19"/>
      <c r="D26" s="19"/>
      <c r="E26" s="28"/>
      <c r="F26" s="54"/>
      <c r="G26" s="106"/>
      <c r="H26" s="28"/>
      <c r="I26" s="28"/>
      <c r="J26" s="54"/>
      <c r="K26" s="28"/>
      <c r="L26" s="28"/>
      <c r="M26" s="28"/>
      <c r="N26" s="28"/>
      <c r="O26" s="28"/>
      <c r="P26" s="28"/>
      <c r="Q26" s="19"/>
      <c r="R26" s="11"/>
      <c r="S26" s="19"/>
    </row>
    <row r="27" spans="1:19" ht="14.25" customHeight="1" x14ac:dyDescent="0.25"/>
    <row r="28" spans="1:19" ht="14.25" customHeight="1" x14ac:dyDescent="0.25"/>
    <row r="29" spans="1:19" ht="14.25" customHeight="1" x14ac:dyDescent="0.25"/>
    <row r="30" spans="1:19" ht="14.25" customHeight="1" x14ac:dyDescent="0.25"/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honeticPr fontId="6" type="noConversion"/>
  <pageMargins left="0.7" right="0.7" top="0.75" bottom="0.75" header="0" footer="0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3"/>
  <sheetViews>
    <sheetView zoomScale="60" zoomScaleNormal="60" workbookViewId="0">
      <selection sqref="A1:A1048576"/>
    </sheetView>
  </sheetViews>
  <sheetFormatPr baseColWidth="10" defaultColWidth="14.42578125" defaultRowHeight="15" customHeight="1" x14ac:dyDescent="0.25"/>
  <cols>
    <col min="1" max="1" width="4.5703125" customWidth="1"/>
    <col min="2" max="2" width="12.5703125" customWidth="1"/>
    <col min="3" max="3" width="43.7109375" customWidth="1"/>
    <col min="4" max="4" width="13.5703125" customWidth="1"/>
    <col min="5" max="5" width="6.5703125" customWidth="1"/>
    <col min="6" max="6" width="10.7109375" customWidth="1"/>
    <col min="7" max="7" width="13" customWidth="1"/>
    <col min="8" max="8" width="9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7" customWidth="1"/>
    <col min="19" max="19" width="22.140625" customWidth="1"/>
    <col min="20" max="25" width="10.7109375" customWidth="1"/>
  </cols>
  <sheetData>
    <row r="1" spans="1:25" ht="14.25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33"/>
      <c r="U1" s="33"/>
      <c r="V1" s="33"/>
      <c r="W1" s="33"/>
      <c r="X1" s="33"/>
      <c r="Y1" s="33"/>
    </row>
    <row r="2" spans="1:25" ht="14.25" customHeight="1" x14ac:dyDescent="0.25">
      <c r="A2" s="28">
        <v>1</v>
      </c>
      <c r="B2" s="21">
        <v>45143</v>
      </c>
      <c r="C2" s="16" t="s">
        <v>103</v>
      </c>
      <c r="D2" s="80" t="s">
        <v>104</v>
      </c>
      <c r="E2" s="80">
        <v>82</v>
      </c>
      <c r="F2" s="89" t="s">
        <v>30</v>
      </c>
      <c r="G2" s="91">
        <v>45140</v>
      </c>
      <c r="H2" s="80">
        <f>DAYS360(G2,B2)</f>
        <v>3</v>
      </c>
      <c r="I2" s="80" t="s">
        <v>22</v>
      </c>
      <c r="J2" s="80">
        <v>1</v>
      </c>
      <c r="K2" s="80" t="s">
        <v>17</v>
      </c>
      <c r="L2" s="76" t="s">
        <v>41</v>
      </c>
      <c r="M2" s="80" t="s">
        <v>27</v>
      </c>
      <c r="N2" s="80"/>
      <c r="O2" s="80"/>
      <c r="P2" s="80"/>
      <c r="Q2" s="80" t="s">
        <v>105</v>
      </c>
      <c r="R2" s="80" t="s">
        <v>19</v>
      </c>
      <c r="S2" s="19"/>
    </row>
    <row r="3" spans="1:25" ht="14.25" customHeight="1" x14ac:dyDescent="0.25">
      <c r="A3" s="28">
        <v>2</v>
      </c>
      <c r="B3" s="21">
        <v>45143</v>
      </c>
      <c r="C3" s="80" t="s">
        <v>59</v>
      </c>
      <c r="D3" s="80" t="s">
        <v>60</v>
      </c>
      <c r="E3" s="80">
        <v>72</v>
      </c>
      <c r="F3" s="89" t="s">
        <v>30</v>
      </c>
      <c r="G3" s="91">
        <v>45119</v>
      </c>
      <c r="H3" s="80">
        <f t="shared" ref="H3:H19" si="0">DAYS360(G3,B3)</f>
        <v>23</v>
      </c>
      <c r="I3" s="80" t="s">
        <v>22</v>
      </c>
      <c r="J3" s="80">
        <v>1</v>
      </c>
      <c r="K3" s="80" t="s">
        <v>39</v>
      </c>
      <c r="L3" s="76" t="s">
        <v>41</v>
      </c>
      <c r="M3" s="80" t="s">
        <v>44</v>
      </c>
      <c r="N3" s="80"/>
      <c r="O3" s="80"/>
      <c r="P3" s="80"/>
      <c r="Q3" s="90" t="s">
        <v>61</v>
      </c>
      <c r="R3" s="76" t="s">
        <v>19</v>
      </c>
      <c r="S3" s="19"/>
    </row>
    <row r="4" spans="1:25" ht="14.25" customHeight="1" x14ac:dyDescent="0.25">
      <c r="A4" s="28">
        <v>3</v>
      </c>
      <c r="B4" s="21">
        <v>45143</v>
      </c>
      <c r="C4" s="77" t="s">
        <v>47</v>
      </c>
      <c r="D4" s="77" t="s">
        <v>48</v>
      </c>
      <c r="E4" s="77">
        <v>73</v>
      </c>
      <c r="F4" s="89" t="s">
        <v>30</v>
      </c>
      <c r="G4" s="95">
        <v>45117</v>
      </c>
      <c r="H4" s="80">
        <f t="shared" si="0"/>
        <v>25</v>
      </c>
      <c r="I4" s="77" t="s">
        <v>16</v>
      </c>
      <c r="J4" s="77">
        <v>1.5</v>
      </c>
      <c r="K4" s="77" t="s">
        <v>17</v>
      </c>
      <c r="L4" s="76" t="s">
        <v>41</v>
      </c>
      <c r="M4" s="77" t="s">
        <v>32</v>
      </c>
      <c r="N4" s="77"/>
      <c r="O4" s="77"/>
      <c r="P4" s="77"/>
      <c r="Q4" s="77" t="s">
        <v>49</v>
      </c>
      <c r="R4" s="76" t="s">
        <v>19</v>
      </c>
      <c r="S4" s="19"/>
    </row>
    <row r="5" spans="1:25" ht="14.25" customHeight="1" x14ac:dyDescent="0.25">
      <c r="A5" s="28">
        <v>4</v>
      </c>
      <c r="B5" s="21">
        <v>45143</v>
      </c>
      <c r="C5" s="80" t="s">
        <v>117</v>
      </c>
      <c r="D5" s="80" t="s">
        <v>118</v>
      </c>
      <c r="E5" s="80">
        <v>78</v>
      </c>
      <c r="F5" s="89" t="s">
        <v>30</v>
      </c>
      <c r="G5" s="91">
        <v>45141</v>
      </c>
      <c r="H5" s="80">
        <f t="shared" si="0"/>
        <v>2</v>
      </c>
      <c r="I5" s="80" t="s">
        <v>16</v>
      </c>
      <c r="J5" s="80">
        <v>1.5</v>
      </c>
      <c r="K5" s="80" t="s">
        <v>39</v>
      </c>
      <c r="L5" s="76" t="s">
        <v>41</v>
      </c>
      <c r="M5" s="80" t="s">
        <v>44</v>
      </c>
      <c r="N5" s="80"/>
      <c r="O5" s="80"/>
      <c r="P5" s="80"/>
      <c r="Q5" s="80" t="s">
        <v>119</v>
      </c>
      <c r="R5" s="80" t="s">
        <v>19</v>
      </c>
      <c r="S5" s="19"/>
    </row>
    <row r="6" spans="1:25" ht="14.25" customHeight="1" x14ac:dyDescent="0.25">
      <c r="A6" s="28">
        <v>5</v>
      </c>
      <c r="B6" s="21">
        <v>45143</v>
      </c>
      <c r="C6" s="80" t="s">
        <v>89</v>
      </c>
      <c r="D6" s="80" t="s">
        <v>90</v>
      </c>
      <c r="E6" s="80">
        <v>58</v>
      </c>
      <c r="F6" s="89" t="s">
        <v>30</v>
      </c>
      <c r="G6" s="91">
        <v>45136</v>
      </c>
      <c r="H6" s="80">
        <f t="shared" si="0"/>
        <v>6</v>
      </c>
      <c r="I6" s="80" t="s">
        <v>24</v>
      </c>
      <c r="J6" s="80">
        <v>1</v>
      </c>
      <c r="K6" s="80" t="s">
        <v>17</v>
      </c>
      <c r="L6" s="76" t="s">
        <v>41</v>
      </c>
      <c r="M6" s="80" t="s">
        <v>46</v>
      </c>
      <c r="N6" s="80"/>
      <c r="O6" s="80"/>
      <c r="P6" s="80"/>
      <c r="Q6" s="80" t="s">
        <v>91</v>
      </c>
      <c r="R6" s="80" t="s">
        <v>19</v>
      </c>
      <c r="S6" s="19"/>
    </row>
    <row r="7" spans="1:25" ht="14.25" customHeight="1" x14ac:dyDescent="0.25">
      <c r="A7" s="28">
        <v>6</v>
      </c>
      <c r="B7" s="21">
        <v>45143</v>
      </c>
      <c r="C7" s="83" t="s">
        <v>37</v>
      </c>
      <c r="D7" s="83" t="s">
        <v>38</v>
      </c>
      <c r="E7" s="83">
        <v>32</v>
      </c>
      <c r="F7" s="89" t="s">
        <v>30</v>
      </c>
      <c r="G7" s="97">
        <v>45125</v>
      </c>
      <c r="H7" s="80">
        <f t="shared" si="0"/>
        <v>17</v>
      </c>
      <c r="I7" s="83" t="s">
        <v>24</v>
      </c>
      <c r="J7" s="83">
        <v>0.75</v>
      </c>
      <c r="K7" s="83" t="s">
        <v>39</v>
      </c>
      <c r="L7" s="76" t="s">
        <v>41</v>
      </c>
      <c r="M7" s="83"/>
      <c r="N7" s="83"/>
      <c r="O7" s="83" t="s">
        <v>25</v>
      </c>
      <c r="P7" s="83"/>
      <c r="Q7" s="83" t="s">
        <v>74</v>
      </c>
      <c r="R7" s="76" t="s">
        <v>19</v>
      </c>
      <c r="S7" s="19"/>
    </row>
    <row r="8" spans="1:25" ht="14.25" customHeight="1" x14ac:dyDescent="0.25">
      <c r="A8" s="28">
        <v>7</v>
      </c>
      <c r="B8" s="21">
        <v>45143</v>
      </c>
      <c r="C8" s="16" t="s">
        <v>102</v>
      </c>
      <c r="D8" s="80" t="s">
        <v>106</v>
      </c>
      <c r="E8" s="80">
        <v>68</v>
      </c>
      <c r="F8" s="89" t="s">
        <v>30</v>
      </c>
      <c r="G8" s="91">
        <v>45140</v>
      </c>
      <c r="H8" s="80">
        <f t="shared" si="0"/>
        <v>3</v>
      </c>
      <c r="I8" s="80" t="s">
        <v>22</v>
      </c>
      <c r="J8" s="80">
        <v>1</v>
      </c>
      <c r="K8" s="80" t="s">
        <v>17</v>
      </c>
      <c r="L8" s="76" t="s">
        <v>41</v>
      </c>
      <c r="M8" s="80" t="s">
        <v>27</v>
      </c>
      <c r="N8" s="80"/>
      <c r="O8" s="80"/>
      <c r="P8" s="80"/>
      <c r="Q8" s="80" t="s">
        <v>107</v>
      </c>
      <c r="R8" s="80" t="s">
        <v>19</v>
      </c>
      <c r="S8" s="19"/>
    </row>
    <row r="9" spans="1:25" ht="14.25" customHeight="1" x14ac:dyDescent="0.25">
      <c r="A9" s="28">
        <v>8</v>
      </c>
      <c r="B9" s="21">
        <v>45143</v>
      </c>
      <c r="C9" s="80" t="s">
        <v>121</v>
      </c>
      <c r="D9" s="80" t="s">
        <v>123</v>
      </c>
      <c r="E9" s="80">
        <v>82</v>
      </c>
      <c r="F9" s="89" t="s">
        <v>30</v>
      </c>
      <c r="G9" s="91">
        <v>45142</v>
      </c>
      <c r="H9" s="80">
        <f t="shared" si="0"/>
        <v>1</v>
      </c>
      <c r="I9" s="80" t="s">
        <v>127</v>
      </c>
      <c r="J9" s="80">
        <v>1</v>
      </c>
      <c r="K9" s="80" t="s">
        <v>39</v>
      </c>
      <c r="L9" s="76" t="s">
        <v>41</v>
      </c>
      <c r="M9" s="80" t="s">
        <v>32</v>
      </c>
      <c r="N9" s="80"/>
      <c r="O9" s="80"/>
      <c r="P9" s="80"/>
      <c r="Q9" s="80" t="s">
        <v>129</v>
      </c>
      <c r="R9" s="80" t="s">
        <v>19</v>
      </c>
      <c r="S9" s="19"/>
    </row>
    <row r="10" spans="1:25" ht="14.25" customHeight="1" x14ac:dyDescent="0.25">
      <c r="A10" s="28">
        <v>9</v>
      </c>
      <c r="B10" s="21">
        <v>45143</v>
      </c>
      <c r="C10" s="80" t="s">
        <v>109</v>
      </c>
      <c r="D10" s="80" t="s">
        <v>110</v>
      </c>
      <c r="E10" s="80">
        <v>56</v>
      </c>
      <c r="F10" s="89" t="s">
        <v>30</v>
      </c>
      <c r="G10" s="91">
        <v>45140</v>
      </c>
      <c r="H10" s="80">
        <f t="shared" si="0"/>
        <v>3</v>
      </c>
      <c r="I10" s="80" t="s">
        <v>111</v>
      </c>
      <c r="J10" s="80">
        <v>1.5</v>
      </c>
      <c r="K10" s="80" t="s">
        <v>17</v>
      </c>
      <c r="L10" s="76" t="s">
        <v>41</v>
      </c>
      <c r="M10" s="80" t="s">
        <v>44</v>
      </c>
      <c r="N10" s="80"/>
      <c r="O10" s="80"/>
      <c r="P10" s="80"/>
      <c r="Q10" s="80" t="s">
        <v>112</v>
      </c>
      <c r="R10" s="80" t="s">
        <v>19</v>
      </c>
      <c r="S10" s="19"/>
    </row>
    <row r="11" spans="1:25" ht="14.25" customHeight="1" x14ac:dyDescent="0.25">
      <c r="A11" s="28">
        <v>10</v>
      </c>
      <c r="B11" s="21">
        <v>45143</v>
      </c>
      <c r="C11" s="77" t="s">
        <v>28</v>
      </c>
      <c r="D11" s="77" t="s">
        <v>29</v>
      </c>
      <c r="E11" s="77">
        <v>81</v>
      </c>
      <c r="F11" s="89" t="s">
        <v>30</v>
      </c>
      <c r="G11" s="95">
        <v>45105</v>
      </c>
      <c r="H11" s="80">
        <f t="shared" si="0"/>
        <v>37</v>
      </c>
      <c r="I11" s="77" t="s">
        <v>31</v>
      </c>
      <c r="J11" s="77">
        <v>1.5</v>
      </c>
      <c r="K11" s="77" t="s">
        <v>17</v>
      </c>
      <c r="L11" s="76" t="s">
        <v>41</v>
      </c>
      <c r="M11" s="77" t="s">
        <v>32</v>
      </c>
      <c r="N11" s="77"/>
      <c r="O11" s="77"/>
      <c r="P11" s="77"/>
      <c r="Q11" s="77" t="s">
        <v>33</v>
      </c>
      <c r="R11" s="76" t="s">
        <v>19</v>
      </c>
      <c r="S11" s="19"/>
    </row>
    <row r="12" spans="1:25" ht="14.25" customHeight="1" x14ac:dyDescent="0.25">
      <c r="A12" s="28">
        <v>11</v>
      </c>
      <c r="B12" s="21">
        <v>45143</v>
      </c>
      <c r="C12" s="80" t="s">
        <v>73</v>
      </c>
      <c r="D12" s="80" t="s">
        <v>75</v>
      </c>
      <c r="E12" s="80">
        <v>79</v>
      </c>
      <c r="F12" s="89" t="s">
        <v>30</v>
      </c>
      <c r="G12" s="91">
        <v>45125</v>
      </c>
      <c r="H12" s="80">
        <f t="shared" si="0"/>
        <v>17</v>
      </c>
      <c r="I12" s="80" t="s">
        <v>26</v>
      </c>
      <c r="J12" s="80">
        <v>1</v>
      </c>
      <c r="K12" s="80" t="s">
        <v>39</v>
      </c>
      <c r="L12" s="76" t="s">
        <v>41</v>
      </c>
      <c r="M12" s="80" t="s">
        <v>44</v>
      </c>
      <c r="N12" s="80"/>
      <c r="O12" s="80"/>
      <c r="P12" s="80"/>
      <c r="Q12" s="80" t="s">
        <v>76</v>
      </c>
      <c r="R12" s="76" t="s">
        <v>19</v>
      </c>
      <c r="S12" s="19"/>
    </row>
    <row r="13" spans="1:25" ht="14.25" customHeight="1" x14ac:dyDescent="0.25">
      <c r="A13" s="28">
        <v>12</v>
      </c>
      <c r="B13" s="21">
        <v>45143</v>
      </c>
      <c r="C13" s="80" t="s">
        <v>73</v>
      </c>
      <c r="D13" s="80" t="s">
        <v>75</v>
      </c>
      <c r="E13" s="80">
        <v>79</v>
      </c>
      <c r="F13" s="89" t="s">
        <v>30</v>
      </c>
      <c r="G13" s="91">
        <v>45125</v>
      </c>
      <c r="H13" s="80">
        <f t="shared" si="0"/>
        <v>17</v>
      </c>
      <c r="I13" s="80" t="s">
        <v>26</v>
      </c>
      <c r="J13" s="80">
        <v>1</v>
      </c>
      <c r="K13" s="80" t="s">
        <v>39</v>
      </c>
      <c r="L13" s="76" t="s">
        <v>41</v>
      </c>
      <c r="M13" s="80"/>
      <c r="N13" s="80"/>
      <c r="O13" s="80" t="s">
        <v>25</v>
      </c>
      <c r="P13" s="80"/>
      <c r="Q13" s="80" t="s">
        <v>76</v>
      </c>
      <c r="R13" s="76" t="s">
        <v>19</v>
      </c>
      <c r="S13" s="19"/>
    </row>
    <row r="14" spans="1:25" ht="14.25" customHeight="1" x14ac:dyDescent="0.25">
      <c r="A14" s="28">
        <v>13</v>
      </c>
      <c r="B14" s="21">
        <v>45143</v>
      </c>
      <c r="C14" s="80" t="s">
        <v>98</v>
      </c>
      <c r="D14" s="80" t="s">
        <v>99</v>
      </c>
      <c r="E14" s="80">
        <v>85</v>
      </c>
      <c r="F14" s="89" t="s">
        <v>30</v>
      </c>
      <c r="G14" s="91">
        <v>45138</v>
      </c>
      <c r="H14" s="80">
        <f t="shared" si="0"/>
        <v>5</v>
      </c>
      <c r="I14" s="80" t="s">
        <v>16</v>
      </c>
      <c r="J14" s="80">
        <v>1</v>
      </c>
      <c r="K14" s="80" t="s">
        <v>17</v>
      </c>
      <c r="L14" s="76" t="s">
        <v>41</v>
      </c>
      <c r="M14" s="80" t="s">
        <v>44</v>
      </c>
      <c r="N14" s="80"/>
      <c r="O14" s="80"/>
      <c r="P14" s="80"/>
      <c r="Q14" s="80" t="s">
        <v>101</v>
      </c>
      <c r="R14" s="80" t="s">
        <v>19</v>
      </c>
      <c r="S14" s="19"/>
    </row>
    <row r="15" spans="1:25" ht="14.25" customHeight="1" x14ac:dyDescent="0.25">
      <c r="A15" s="28">
        <v>14</v>
      </c>
      <c r="B15" s="21">
        <v>45143</v>
      </c>
      <c r="C15" s="80" t="s">
        <v>95</v>
      </c>
      <c r="D15" s="80" t="s">
        <v>96</v>
      </c>
      <c r="E15" s="80">
        <v>74</v>
      </c>
      <c r="F15" s="89" t="s">
        <v>30</v>
      </c>
      <c r="G15" s="91">
        <v>45138</v>
      </c>
      <c r="H15" s="80">
        <f t="shared" si="0"/>
        <v>5</v>
      </c>
      <c r="I15" s="80" t="s">
        <v>97</v>
      </c>
      <c r="J15" s="80">
        <v>1.5</v>
      </c>
      <c r="K15" s="80" t="s">
        <v>17</v>
      </c>
      <c r="L15" s="76" t="s">
        <v>41</v>
      </c>
      <c r="M15" s="80" t="s">
        <v>44</v>
      </c>
      <c r="N15" s="80"/>
      <c r="O15" s="80"/>
      <c r="P15" s="80"/>
      <c r="Q15" s="80" t="s">
        <v>100</v>
      </c>
      <c r="R15" s="80" t="s">
        <v>19</v>
      </c>
      <c r="S15" s="19"/>
    </row>
    <row r="16" spans="1:25" ht="14.25" customHeight="1" x14ac:dyDescent="0.25">
      <c r="A16" s="28">
        <v>15</v>
      </c>
      <c r="B16" s="21">
        <v>45143</v>
      </c>
      <c r="C16" s="80" t="s">
        <v>125</v>
      </c>
      <c r="D16" s="80" t="s">
        <v>126</v>
      </c>
      <c r="E16" s="80">
        <v>75</v>
      </c>
      <c r="F16" s="89" t="s">
        <v>30</v>
      </c>
      <c r="G16" s="91">
        <v>45142</v>
      </c>
      <c r="H16" s="80">
        <f t="shared" si="0"/>
        <v>1</v>
      </c>
      <c r="I16" s="80" t="s">
        <v>24</v>
      </c>
      <c r="J16" s="80">
        <v>1</v>
      </c>
      <c r="K16" s="80" t="s">
        <v>17</v>
      </c>
      <c r="L16" s="76" t="s">
        <v>41</v>
      </c>
      <c r="M16" s="80" t="s">
        <v>27</v>
      </c>
      <c r="N16" s="80"/>
      <c r="O16" s="80"/>
      <c r="P16" s="80"/>
      <c r="Q16" s="80" t="s">
        <v>131</v>
      </c>
      <c r="R16" s="80" t="s">
        <v>19</v>
      </c>
      <c r="S16" s="19"/>
    </row>
    <row r="17" spans="1:19" ht="14.25" customHeight="1" x14ac:dyDescent="0.25">
      <c r="A17" s="28">
        <v>16</v>
      </c>
      <c r="B17" s="21">
        <v>45143</v>
      </c>
      <c r="C17" s="80" t="s">
        <v>122</v>
      </c>
      <c r="D17" s="80" t="s">
        <v>124</v>
      </c>
      <c r="E17" s="80">
        <v>71</v>
      </c>
      <c r="F17" s="89" t="s">
        <v>30</v>
      </c>
      <c r="G17" s="91">
        <v>45142</v>
      </c>
      <c r="H17" s="80">
        <f t="shared" si="0"/>
        <v>1</v>
      </c>
      <c r="I17" s="80" t="s">
        <v>24</v>
      </c>
      <c r="J17" s="80">
        <v>1</v>
      </c>
      <c r="K17" s="80" t="s">
        <v>17</v>
      </c>
      <c r="L17" s="76" t="s">
        <v>41</v>
      </c>
      <c r="M17" s="80" t="s">
        <v>27</v>
      </c>
      <c r="N17" s="80"/>
      <c r="O17" s="80"/>
      <c r="P17" s="80"/>
      <c r="Q17" s="80" t="s">
        <v>130</v>
      </c>
      <c r="R17" s="80" t="s">
        <v>19</v>
      </c>
      <c r="S17" s="19"/>
    </row>
    <row r="18" spans="1:19" ht="14.25" customHeight="1" x14ac:dyDescent="0.25">
      <c r="A18" s="28">
        <v>17</v>
      </c>
      <c r="B18" s="21">
        <v>45143</v>
      </c>
      <c r="C18" s="16" t="s">
        <v>103</v>
      </c>
      <c r="D18" s="80" t="s">
        <v>104</v>
      </c>
      <c r="E18" s="80">
        <v>82</v>
      </c>
      <c r="F18" s="89" t="s">
        <v>30</v>
      </c>
      <c r="G18" s="91">
        <v>45140</v>
      </c>
      <c r="H18" s="80">
        <f t="shared" si="0"/>
        <v>3</v>
      </c>
      <c r="I18" s="80" t="s">
        <v>22</v>
      </c>
      <c r="J18" s="80">
        <v>1</v>
      </c>
      <c r="K18" s="80" t="s">
        <v>17</v>
      </c>
      <c r="L18" s="76" t="s">
        <v>41</v>
      </c>
      <c r="M18" s="80" t="s">
        <v>27</v>
      </c>
      <c r="N18" s="80"/>
      <c r="O18" s="80"/>
      <c r="P18" s="80"/>
      <c r="Q18" s="80" t="s">
        <v>105</v>
      </c>
      <c r="R18" s="80" t="s">
        <v>19</v>
      </c>
      <c r="S18" s="19"/>
    </row>
    <row r="19" spans="1:19" ht="14.25" customHeight="1" x14ac:dyDescent="0.25">
      <c r="A19" s="28">
        <v>18</v>
      </c>
      <c r="B19" s="21">
        <v>45143</v>
      </c>
      <c r="C19" s="80" t="s">
        <v>132</v>
      </c>
      <c r="D19" s="80" t="s">
        <v>133</v>
      </c>
      <c r="E19" s="80">
        <v>29</v>
      </c>
      <c r="F19" s="89" t="s">
        <v>30</v>
      </c>
      <c r="G19" s="91">
        <v>45142</v>
      </c>
      <c r="H19" s="80">
        <f t="shared" si="0"/>
        <v>1</v>
      </c>
      <c r="I19" s="80" t="s">
        <v>26</v>
      </c>
      <c r="J19" s="80">
        <v>0.75</v>
      </c>
      <c r="K19" s="80" t="s">
        <v>17</v>
      </c>
      <c r="L19" s="76" t="s">
        <v>41</v>
      </c>
      <c r="M19" s="80"/>
      <c r="N19" s="80"/>
      <c r="O19" s="80" t="s">
        <v>25</v>
      </c>
      <c r="P19" s="80"/>
      <c r="Q19" s="80" t="s">
        <v>128</v>
      </c>
      <c r="R19" s="80" t="s">
        <v>19</v>
      </c>
      <c r="S19" s="19"/>
    </row>
    <row r="20" spans="1:19" ht="14.25" customHeight="1" x14ac:dyDescent="0.25">
      <c r="A20" s="28">
        <v>19</v>
      </c>
      <c r="B20" s="21"/>
      <c r="C20" s="55"/>
      <c r="D20" s="55"/>
      <c r="E20" s="56"/>
      <c r="F20" s="19"/>
      <c r="G20" s="61"/>
      <c r="H20" s="55"/>
      <c r="I20" s="55"/>
      <c r="J20" s="55"/>
      <c r="K20" s="4"/>
      <c r="L20" s="55"/>
      <c r="M20" s="55"/>
      <c r="N20" s="55"/>
      <c r="O20" s="55"/>
      <c r="P20" s="55"/>
      <c r="Q20" s="55"/>
      <c r="R20" s="6"/>
      <c r="S20" s="19"/>
    </row>
    <row r="21" spans="1:19" ht="14.25" customHeight="1" x14ac:dyDescent="0.25">
      <c r="A21" s="28">
        <v>20</v>
      </c>
      <c r="B21" s="21"/>
      <c r="C21" s="55"/>
      <c r="D21" s="46"/>
      <c r="E21" s="56"/>
      <c r="F21" s="19"/>
      <c r="G21" s="61"/>
      <c r="H21" s="55"/>
      <c r="I21" s="55"/>
      <c r="J21" s="55"/>
      <c r="K21" s="4"/>
      <c r="L21" s="55"/>
      <c r="M21" s="55"/>
      <c r="N21" s="55"/>
      <c r="O21" s="55"/>
      <c r="P21" s="55"/>
      <c r="Q21" s="46"/>
      <c r="R21" s="6"/>
      <c r="S21" s="19"/>
    </row>
    <row r="22" spans="1:19" ht="14.25" customHeight="1" x14ac:dyDescent="0.25">
      <c r="A22" s="28">
        <v>21</v>
      </c>
      <c r="B22" s="21"/>
      <c r="C22" s="55"/>
      <c r="D22" s="55"/>
      <c r="E22" s="56"/>
      <c r="F22" s="19"/>
      <c r="G22" s="63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6"/>
      <c r="S22" s="19"/>
    </row>
    <row r="23" spans="1:19" ht="14.25" customHeight="1" x14ac:dyDescent="0.25">
      <c r="A23" s="28">
        <v>22</v>
      </c>
      <c r="B23" s="21"/>
      <c r="C23" s="55"/>
      <c r="D23" s="55"/>
      <c r="E23" s="56"/>
      <c r="F23" s="19"/>
      <c r="G23" s="61"/>
      <c r="H23" s="55"/>
      <c r="I23" s="55"/>
      <c r="J23" s="55"/>
      <c r="K23" s="4"/>
      <c r="L23" s="55"/>
      <c r="M23" s="55"/>
      <c r="N23" s="55"/>
      <c r="O23" s="55"/>
      <c r="P23" s="55"/>
      <c r="Q23" s="55"/>
      <c r="R23" s="6"/>
      <c r="S23" s="19"/>
    </row>
    <row r="24" spans="1:19" ht="14.25" customHeight="1" x14ac:dyDescent="0.25">
      <c r="A24" s="28">
        <v>23</v>
      </c>
      <c r="B24" s="21"/>
      <c r="C24" s="55"/>
      <c r="D24" s="55"/>
      <c r="E24" s="56"/>
      <c r="F24" s="19"/>
      <c r="G24" s="61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6"/>
      <c r="S24" s="19"/>
    </row>
    <row r="25" spans="1:19" ht="14.25" customHeight="1" x14ac:dyDescent="0.25">
      <c r="A25" s="28">
        <v>24</v>
      </c>
      <c r="B25" s="21"/>
      <c r="C25" s="55"/>
      <c r="D25" s="55"/>
      <c r="E25" s="56"/>
      <c r="F25" s="19"/>
      <c r="G25" s="62"/>
      <c r="H25" s="55"/>
      <c r="I25" s="55"/>
      <c r="J25" s="55"/>
      <c r="K25" s="4"/>
      <c r="L25" s="55"/>
      <c r="M25" s="55"/>
      <c r="N25" s="55"/>
      <c r="O25" s="55"/>
      <c r="P25" s="55"/>
      <c r="Q25" s="55"/>
      <c r="R25" s="6"/>
      <c r="S25" s="19"/>
    </row>
    <row r="26" spans="1:19" ht="14.25" customHeight="1" x14ac:dyDescent="0.25">
      <c r="A26" s="28">
        <v>25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ht="14.25" customHeight="1" x14ac:dyDescent="0.25">
      <c r="A27" s="28">
        <v>26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19" ht="14.25" customHeight="1" x14ac:dyDescent="0.25">
      <c r="A28" s="28">
        <v>27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ht="14.25" customHeight="1" x14ac:dyDescent="0.25">
      <c r="A29" s="28">
        <v>28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ht="14.25" customHeight="1" x14ac:dyDescent="0.25">
      <c r="A30" s="28">
        <v>29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2"/>
  <sheetViews>
    <sheetView zoomScale="70" zoomScaleNormal="70" workbookViewId="0">
      <selection activeCell="G34" sqref="G34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9" customWidth="1"/>
    <col min="7" max="7" width="13" customWidth="1"/>
    <col min="8" max="8" width="16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21.570312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7" customWidth="1"/>
    <col min="19" max="19" width="22.140625" customWidth="1"/>
    <col min="20" max="25" width="10.7109375" customWidth="1"/>
  </cols>
  <sheetData>
    <row r="1" spans="1:25" ht="33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33"/>
      <c r="U1" s="33"/>
      <c r="V1" s="33"/>
      <c r="W1" s="33"/>
      <c r="X1" s="33"/>
      <c r="Y1" s="33"/>
    </row>
    <row r="2" spans="1:25" ht="14.25" customHeight="1" x14ac:dyDescent="0.25">
      <c r="A2" s="28">
        <v>1</v>
      </c>
      <c r="B2" s="21">
        <v>45144</v>
      </c>
      <c r="C2" s="16" t="s">
        <v>103</v>
      </c>
      <c r="D2" s="80" t="s">
        <v>104</v>
      </c>
      <c r="E2" s="80">
        <v>82</v>
      </c>
      <c r="F2" s="80" t="s">
        <v>30</v>
      </c>
      <c r="G2" s="91">
        <v>45140</v>
      </c>
      <c r="H2" s="80">
        <f>DAYS360(G2,B2)</f>
        <v>4</v>
      </c>
      <c r="I2" s="80" t="s">
        <v>22</v>
      </c>
      <c r="J2" s="80">
        <v>1</v>
      </c>
      <c r="K2" s="80" t="s">
        <v>17</v>
      </c>
      <c r="L2" s="76" t="s">
        <v>41</v>
      </c>
      <c r="M2" s="80" t="s">
        <v>27</v>
      </c>
      <c r="N2" s="80"/>
      <c r="O2" s="80"/>
      <c r="P2" s="80"/>
      <c r="Q2" s="80" t="s">
        <v>105</v>
      </c>
      <c r="R2" s="80" t="s">
        <v>19</v>
      </c>
      <c r="S2" s="19"/>
      <c r="T2" s="33"/>
      <c r="U2" s="33"/>
      <c r="V2" s="33"/>
      <c r="W2" s="33"/>
      <c r="X2" s="33"/>
      <c r="Y2" s="33"/>
    </row>
    <row r="3" spans="1:25" ht="14.25" customHeight="1" x14ac:dyDescent="0.25">
      <c r="A3" s="28">
        <v>2</v>
      </c>
      <c r="B3" s="21">
        <v>45144</v>
      </c>
      <c r="C3" s="16" t="s">
        <v>103</v>
      </c>
      <c r="D3" s="80" t="s">
        <v>104</v>
      </c>
      <c r="E3" s="80">
        <v>82</v>
      </c>
      <c r="F3" s="80" t="s">
        <v>30</v>
      </c>
      <c r="G3" s="91">
        <v>45140</v>
      </c>
      <c r="H3" s="80">
        <f t="shared" ref="H3:H14" si="0">DAYS360(G3,B3)</f>
        <v>4</v>
      </c>
      <c r="I3" s="80" t="s">
        <v>22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105</v>
      </c>
      <c r="R3" s="80" t="s">
        <v>19</v>
      </c>
      <c r="S3" s="19"/>
    </row>
    <row r="4" spans="1:25" ht="14.25" customHeight="1" x14ac:dyDescent="0.25">
      <c r="A4" s="28">
        <v>3</v>
      </c>
      <c r="B4" s="21">
        <v>45144</v>
      </c>
      <c r="C4" s="80" t="s">
        <v>56</v>
      </c>
      <c r="D4" s="80" t="s">
        <v>57</v>
      </c>
      <c r="E4" s="80">
        <v>78</v>
      </c>
      <c r="F4" s="80" t="s">
        <v>30</v>
      </c>
      <c r="G4" s="91">
        <v>45120</v>
      </c>
      <c r="H4" s="80">
        <f t="shared" si="0"/>
        <v>23</v>
      </c>
      <c r="I4" s="80" t="s">
        <v>26</v>
      </c>
      <c r="J4" s="80">
        <v>1</v>
      </c>
      <c r="K4" s="80" t="s">
        <v>17</v>
      </c>
      <c r="L4" s="76" t="s">
        <v>41</v>
      </c>
      <c r="M4" s="80" t="s">
        <v>27</v>
      </c>
      <c r="N4" s="80"/>
      <c r="O4" s="80"/>
      <c r="P4" s="80"/>
      <c r="Q4" s="80" t="s">
        <v>58</v>
      </c>
      <c r="R4" s="76" t="s">
        <v>19</v>
      </c>
      <c r="S4" s="19"/>
    </row>
    <row r="5" spans="1:25" ht="14.25" customHeight="1" x14ac:dyDescent="0.25">
      <c r="A5" s="28">
        <v>4</v>
      </c>
      <c r="B5" s="21">
        <v>45144</v>
      </c>
      <c r="C5" s="80" t="s">
        <v>92</v>
      </c>
      <c r="D5" s="80" t="s">
        <v>93</v>
      </c>
      <c r="E5" s="80">
        <v>53</v>
      </c>
      <c r="F5" s="80" t="s">
        <v>30</v>
      </c>
      <c r="G5" s="91">
        <v>45138</v>
      </c>
      <c r="H5" s="80">
        <f t="shared" si="0"/>
        <v>6</v>
      </c>
      <c r="I5" s="80" t="s">
        <v>26</v>
      </c>
      <c r="J5" s="80">
        <v>1</v>
      </c>
      <c r="K5" s="80" t="s">
        <v>17</v>
      </c>
      <c r="L5" s="76" t="s">
        <v>41</v>
      </c>
      <c r="M5" s="80"/>
      <c r="N5" s="80"/>
      <c r="O5" s="80" t="s">
        <v>25</v>
      </c>
      <c r="P5" s="80"/>
      <c r="Q5" s="80" t="s">
        <v>94</v>
      </c>
      <c r="R5" s="80" t="s">
        <v>19</v>
      </c>
      <c r="S5" s="19"/>
    </row>
    <row r="6" spans="1:25" ht="14.25" customHeight="1" x14ac:dyDescent="0.25">
      <c r="A6" s="28">
        <v>5</v>
      </c>
      <c r="B6" s="21">
        <v>45144</v>
      </c>
      <c r="C6" s="80" t="s">
        <v>121</v>
      </c>
      <c r="D6" s="80" t="s">
        <v>123</v>
      </c>
      <c r="E6" s="80">
        <v>82</v>
      </c>
      <c r="F6" s="80" t="s">
        <v>30</v>
      </c>
      <c r="G6" s="91">
        <v>45142</v>
      </c>
      <c r="H6" s="80">
        <f t="shared" si="0"/>
        <v>2</v>
      </c>
      <c r="I6" s="80" t="s">
        <v>127</v>
      </c>
      <c r="J6" s="80">
        <v>1</v>
      </c>
      <c r="K6" s="80" t="s">
        <v>39</v>
      </c>
      <c r="L6" s="76" t="s">
        <v>41</v>
      </c>
      <c r="M6" s="80" t="s">
        <v>32</v>
      </c>
      <c r="N6" s="80"/>
      <c r="O6" s="80"/>
      <c r="P6" s="80"/>
      <c r="Q6" s="80" t="s">
        <v>129</v>
      </c>
      <c r="R6" s="80" t="s">
        <v>19</v>
      </c>
      <c r="S6" s="19"/>
    </row>
    <row r="7" spans="1:25" ht="14.25" customHeight="1" x14ac:dyDescent="0.25">
      <c r="A7" s="28">
        <v>6</v>
      </c>
      <c r="B7" s="21">
        <v>45144</v>
      </c>
      <c r="C7" s="80" t="s">
        <v>113</v>
      </c>
      <c r="D7" s="80" t="s">
        <v>115</v>
      </c>
      <c r="E7" s="80">
        <v>60</v>
      </c>
      <c r="F7" s="80" t="s">
        <v>30</v>
      </c>
      <c r="G7" s="91">
        <v>45141</v>
      </c>
      <c r="H7" s="80">
        <f t="shared" si="0"/>
        <v>3</v>
      </c>
      <c r="I7" s="80" t="s">
        <v>26</v>
      </c>
      <c r="J7" s="80">
        <v>1</v>
      </c>
      <c r="K7" s="80" t="s">
        <v>17</v>
      </c>
      <c r="L7" s="76" t="s">
        <v>41</v>
      </c>
      <c r="M7" s="80" t="s">
        <v>52</v>
      </c>
      <c r="N7" s="80" t="s">
        <v>27</v>
      </c>
      <c r="O7" s="80"/>
      <c r="P7" s="80"/>
      <c r="Q7" s="80" t="s">
        <v>116</v>
      </c>
      <c r="R7" s="80" t="s">
        <v>19</v>
      </c>
      <c r="S7" s="19"/>
    </row>
    <row r="8" spans="1:25" ht="14.25" customHeight="1" x14ac:dyDescent="0.25">
      <c r="A8" s="28">
        <v>7</v>
      </c>
      <c r="B8" s="21">
        <v>45144</v>
      </c>
      <c r="C8" s="77" t="s">
        <v>47</v>
      </c>
      <c r="D8" s="77" t="s">
        <v>48</v>
      </c>
      <c r="E8" s="77">
        <v>73</v>
      </c>
      <c r="F8" s="80" t="s">
        <v>30</v>
      </c>
      <c r="G8" s="95">
        <v>45117</v>
      </c>
      <c r="H8" s="80">
        <f t="shared" si="0"/>
        <v>26</v>
      </c>
      <c r="I8" s="77" t="s">
        <v>16</v>
      </c>
      <c r="J8" s="77">
        <v>1.5</v>
      </c>
      <c r="K8" s="77" t="s">
        <v>17</v>
      </c>
      <c r="L8" s="76" t="s">
        <v>41</v>
      </c>
      <c r="M8" s="77" t="s">
        <v>32</v>
      </c>
      <c r="N8" s="77"/>
      <c r="O8" s="77"/>
      <c r="P8" s="77"/>
      <c r="Q8" s="77" t="s">
        <v>49</v>
      </c>
      <c r="R8" s="76" t="s">
        <v>19</v>
      </c>
      <c r="S8" s="19"/>
    </row>
    <row r="9" spans="1:25" ht="14.25" customHeight="1" x14ac:dyDescent="0.25">
      <c r="A9" s="28">
        <v>8</v>
      </c>
      <c r="B9" s="21">
        <v>45144</v>
      </c>
      <c r="C9" s="80" t="s">
        <v>89</v>
      </c>
      <c r="D9" s="80" t="s">
        <v>90</v>
      </c>
      <c r="E9" s="80">
        <v>58</v>
      </c>
      <c r="F9" s="80" t="s">
        <v>30</v>
      </c>
      <c r="G9" s="91">
        <v>45136</v>
      </c>
      <c r="H9" s="80">
        <f t="shared" si="0"/>
        <v>7</v>
      </c>
      <c r="I9" s="80" t="s">
        <v>24</v>
      </c>
      <c r="J9" s="80">
        <v>1</v>
      </c>
      <c r="K9" s="80" t="s">
        <v>17</v>
      </c>
      <c r="L9" s="76" t="s">
        <v>41</v>
      </c>
      <c r="M9" s="80" t="s">
        <v>46</v>
      </c>
      <c r="N9" s="80"/>
      <c r="O9" s="80"/>
      <c r="P9" s="80"/>
      <c r="Q9" s="80" t="s">
        <v>91</v>
      </c>
      <c r="R9" s="80" t="s">
        <v>19</v>
      </c>
      <c r="S9" s="19"/>
    </row>
    <row r="10" spans="1:25" ht="14.25" customHeight="1" x14ac:dyDescent="0.25">
      <c r="A10" s="28">
        <v>9</v>
      </c>
      <c r="B10" s="21">
        <v>45144</v>
      </c>
      <c r="C10" s="83" t="s">
        <v>37</v>
      </c>
      <c r="D10" s="83" t="s">
        <v>38</v>
      </c>
      <c r="E10" s="83">
        <v>32</v>
      </c>
      <c r="F10" s="80" t="s">
        <v>30</v>
      </c>
      <c r="G10" s="97">
        <v>45125</v>
      </c>
      <c r="H10" s="80">
        <f t="shared" si="0"/>
        <v>18</v>
      </c>
      <c r="I10" s="83" t="s">
        <v>24</v>
      </c>
      <c r="J10" s="83">
        <v>0.75</v>
      </c>
      <c r="K10" s="83" t="s">
        <v>39</v>
      </c>
      <c r="L10" s="76" t="s">
        <v>41</v>
      </c>
      <c r="M10" s="83"/>
      <c r="N10" s="83"/>
      <c r="O10" s="83" t="s">
        <v>25</v>
      </c>
      <c r="P10" s="83"/>
      <c r="Q10" s="83" t="s">
        <v>74</v>
      </c>
      <c r="R10" s="76" t="s">
        <v>19</v>
      </c>
      <c r="S10" s="19"/>
    </row>
    <row r="11" spans="1:25" ht="14.25" customHeight="1" x14ac:dyDescent="0.25">
      <c r="A11" s="28">
        <v>10</v>
      </c>
      <c r="B11" s="21">
        <v>45144</v>
      </c>
      <c r="C11" s="80" t="s">
        <v>83</v>
      </c>
      <c r="D11" s="80" t="s">
        <v>84</v>
      </c>
      <c r="E11" s="80">
        <v>81</v>
      </c>
      <c r="F11" s="80" t="s">
        <v>30</v>
      </c>
      <c r="G11" s="91">
        <v>45129</v>
      </c>
      <c r="H11" s="80">
        <f t="shared" si="0"/>
        <v>14</v>
      </c>
      <c r="I11" s="80" t="s">
        <v>26</v>
      </c>
      <c r="J11" s="80">
        <v>1</v>
      </c>
      <c r="K11" s="80" t="s">
        <v>17</v>
      </c>
      <c r="L11" s="76" t="s">
        <v>41</v>
      </c>
      <c r="M11" s="80" t="s">
        <v>27</v>
      </c>
      <c r="N11" s="80"/>
      <c r="O11" s="80"/>
      <c r="P11" s="80"/>
      <c r="Q11" s="80" t="s">
        <v>85</v>
      </c>
      <c r="R11" s="76" t="s">
        <v>19</v>
      </c>
      <c r="S11" s="19"/>
    </row>
    <row r="12" spans="1:25" ht="14.25" customHeight="1" x14ac:dyDescent="0.25">
      <c r="A12" s="28">
        <v>11</v>
      </c>
      <c r="B12" s="21">
        <v>45144</v>
      </c>
      <c r="C12" s="80" t="s">
        <v>125</v>
      </c>
      <c r="D12" s="80" t="s">
        <v>126</v>
      </c>
      <c r="E12" s="80">
        <v>75</v>
      </c>
      <c r="F12" s="80" t="s">
        <v>30</v>
      </c>
      <c r="G12" s="91">
        <v>45142</v>
      </c>
      <c r="H12" s="80">
        <f t="shared" si="0"/>
        <v>2</v>
      </c>
      <c r="I12" s="80" t="s">
        <v>24</v>
      </c>
      <c r="J12" s="80">
        <v>1</v>
      </c>
      <c r="K12" s="80" t="s">
        <v>17</v>
      </c>
      <c r="L12" s="76" t="s">
        <v>41</v>
      </c>
      <c r="M12" s="80"/>
      <c r="N12" s="80" t="s">
        <v>46</v>
      </c>
      <c r="O12" s="80"/>
      <c r="P12" s="80"/>
      <c r="Q12" s="80" t="s">
        <v>131</v>
      </c>
      <c r="R12" s="80" t="s">
        <v>19</v>
      </c>
      <c r="S12" s="19"/>
    </row>
    <row r="13" spans="1:25" ht="14.25" customHeight="1" x14ac:dyDescent="0.25">
      <c r="A13" s="28">
        <v>12</v>
      </c>
      <c r="B13" s="21">
        <v>45144</v>
      </c>
      <c r="C13" s="80" t="s">
        <v>122</v>
      </c>
      <c r="D13" s="80" t="s">
        <v>124</v>
      </c>
      <c r="E13" s="80">
        <v>71</v>
      </c>
      <c r="F13" s="80" t="s">
        <v>30</v>
      </c>
      <c r="G13" s="91">
        <v>45142</v>
      </c>
      <c r="H13" s="80">
        <f t="shared" si="0"/>
        <v>2</v>
      </c>
      <c r="I13" s="80" t="s">
        <v>24</v>
      </c>
      <c r="J13" s="80">
        <v>1</v>
      </c>
      <c r="K13" s="80" t="s">
        <v>17</v>
      </c>
      <c r="L13" s="76" t="s">
        <v>41</v>
      </c>
      <c r="M13" s="80" t="s">
        <v>27</v>
      </c>
      <c r="N13" s="80"/>
      <c r="O13" s="80"/>
      <c r="P13" s="80"/>
      <c r="Q13" s="80" t="s">
        <v>130</v>
      </c>
      <c r="R13" s="80" t="s">
        <v>19</v>
      </c>
      <c r="S13" s="19"/>
    </row>
    <row r="14" spans="1:25" ht="14.25" customHeight="1" x14ac:dyDescent="0.25">
      <c r="A14" s="28">
        <v>13</v>
      </c>
      <c r="B14" s="21">
        <v>45144</v>
      </c>
      <c r="C14" s="80" t="s">
        <v>132</v>
      </c>
      <c r="D14" s="80" t="s">
        <v>133</v>
      </c>
      <c r="E14" s="80">
        <v>29</v>
      </c>
      <c r="F14" s="80" t="s">
        <v>30</v>
      </c>
      <c r="G14" s="91">
        <v>45142</v>
      </c>
      <c r="H14" s="80">
        <f t="shared" si="0"/>
        <v>2</v>
      </c>
      <c r="I14" s="80" t="s">
        <v>26</v>
      </c>
      <c r="J14" s="80">
        <v>0.75</v>
      </c>
      <c r="K14" s="80" t="s">
        <v>17</v>
      </c>
      <c r="L14" s="76" t="s">
        <v>41</v>
      </c>
      <c r="M14" s="80"/>
      <c r="N14" s="80"/>
      <c r="O14" s="80" t="s">
        <v>25</v>
      </c>
      <c r="P14" s="80"/>
      <c r="Q14" s="80" t="s">
        <v>128</v>
      </c>
      <c r="R14" s="80" t="s">
        <v>19</v>
      </c>
      <c r="S14" s="19"/>
    </row>
    <row r="15" spans="1:25" ht="14.25" customHeight="1" x14ac:dyDescent="0.25">
      <c r="A15" s="28">
        <v>14</v>
      </c>
      <c r="B15" s="21"/>
      <c r="C15" s="55"/>
      <c r="D15" s="55"/>
      <c r="E15" s="56"/>
      <c r="F15" s="19"/>
      <c r="G15" s="63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6"/>
      <c r="S15" s="19"/>
    </row>
    <row r="16" spans="1:25" ht="14.25" customHeight="1" x14ac:dyDescent="0.25">
      <c r="A16" s="28">
        <v>15</v>
      </c>
      <c r="B16" s="21"/>
      <c r="C16" s="55"/>
      <c r="D16" s="55"/>
      <c r="E16" s="56"/>
      <c r="F16" s="19"/>
      <c r="G16" s="61"/>
      <c r="H16" s="55"/>
      <c r="I16" s="55"/>
      <c r="J16" s="55"/>
      <c r="K16" s="4"/>
      <c r="L16" s="55"/>
      <c r="M16" s="55"/>
      <c r="N16" s="55"/>
      <c r="O16" s="55"/>
      <c r="P16" s="55"/>
      <c r="Q16" s="55"/>
      <c r="R16" s="6"/>
      <c r="S16" s="19"/>
    </row>
    <row r="17" spans="1:19" ht="14.25" customHeight="1" x14ac:dyDescent="0.25">
      <c r="A17" s="28">
        <v>16</v>
      </c>
      <c r="B17" s="21"/>
      <c r="C17" s="19"/>
      <c r="D17" s="19"/>
      <c r="E17" s="20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1"/>
      <c r="S17" s="19"/>
    </row>
    <row r="18" spans="1:19" ht="14.25" customHeight="1" x14ac:dyDescent="0.25">
      <c r="A18" s="28">
        <v>17</v>
      </c>
      <c r="B18" s="21"/>
      <c r="C18" s="19"/>
      <c r="D18" s="19"/>
      <c r="E18" s="20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1"/>
      <c r="S18" s="19"/>
    </row>
    <row r="19" spans="1:19" ht="14.25" customHeight="1" x14ac:dyDescent="0.25">
      <c r="A19" s="28">
        <v>18</v>
      </c>
      <c r="B19" s="21"/>
      <c r="C19" s="55"/>
      <c r="D19" s="55"/>
      <c r="E19" s="56"/>
      <c r="F19" s="19"/>
      <c r="G19" s="61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6"/>
      <c r="S19" s="19"/>
    </row>
    <row r="20" spans="1:19" ht="14.25" customHeight="1" x14ac:dyDescent="0.25">
      <c r="A20" s="28">
        <v>19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4.25" customHeight="1" x14ac:dyDescent="0.25">
      <c r="A21" s="28">
        <v>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4.25" customHeight="1" x14ac:dyDescent="0.25">
      <c r="A22" s="28">
        <v>21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4.25" customHeight="1" x14ac:dyDescent="0.25">
      <c r="A23" s="28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4.25" customHeight="1" x14ac:dyDescent="0.25">
      <c r="A24" s="28">
        <v>23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4.25" customHeight="1" x14ac:dyDescent="0.25">
      <c r="A25" s="28">
        <v>24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ht="14.25" customHeight="1" x14ac:dyDescent="0.25"/>
    <row r="27" spans="1:19" ht="14.25" customHeight="1" x14ac:dyDescent="0.25"/>
    <row r="28" spans="1:19" ht="14.25" customHeight="1" x14ac:dyDescent="0.25"/>
    <row r="29" spans="1:19" ht="14.25" customHeight="1" x14ac:dyDescent="0.25"/>
    <row r="30" spans="1:19" ht="14.25" customHeight="1" x14ac:dyDescent="0.25"/>
    <row r="31" spans="1:19" ht="14.25" customHeight="1" x14ac:dyDescent="0.25"/>
    <row r="32" spans="1:1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="60" zoomScaleNormal="60" workbookViewId="0">
      <selection activeCell="N15" sqref="N15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9.42578125" customWidth="1"/>
    <col min="7" max="7" width="13" customWidth="1"/>
    <col min="8" max="8" width="11.7109375" style="98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4" customWidth="1"/>
    <col min="15" max="15" width="17.140625" customWidth="1"/>
    <col min="16" max="16" width="13.85546875" customWidth="1"/>
    <col min="17" max="17" width="43.140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6" ht="51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66</v>
      </c>
      <c r="S1" s="25" t="s">
        <v>15</v>
      </c>
      <c r="T1" s="25" t="s">
        <v>67</v>
      </c>
      <c r="U1" s="33"/>
      <c r="V1" s="33"/>
      <c r="W1" s="33"/>
      <c r="X1" s="33"/>
      <c r="Y1" s="33"/>
      <c r="Z1" s="33"/>
    </row>
    <row r="2" spans="1:26" ht="14.25" customHeight="1" x14ac:dyDescent="0.25">
      <c r="A2" s="28">
        <v>1</v>
      </c>
      <c r="B2" s="21">
        <v>45145</v>
      </c>
      <c r="C2" s="16" t="s">
        <v>103</v>
      </c>
      <c r="D2" s="80" t="s">
        <v>104</v>
      </c>
      <c r="E2" s="80">
        <v>82</v>
      </c>
      <c r="F2" s="86" t="s">
        <v>30</v>
      </c>
      <c r="G2" s="91">
        <v>45140</v>
      </c>
      <c r="H2" s="82">
        <f>DAYS360(G2,B2)</f>
        <v>5</v>
      </c>
      <c r="I2" s="80" t="s">
        <v>22</v>
      </c>
      <c r="J2" s="80">
        <v>1</v>
      </c>
      <c r="K2" s="80" t="s">
        <v>17</v>
      </c>
      <c r="L2" s="76" t="s">
        <v>41</v>
      </c>
      <c r="M2" s="80" t="s">
        <v>27</v>
      </c>
      <c r="N2" s="80"/>
      <c r="O2" s="80"/>
      <c r="P2" s="80"/>
      <c r="Q2" s="80" t="s">
        <v>105</v>
      </c>
      <c r="R2" s="80" t="s">
        <v>19</v>
      </c>
      <c r="S2" s="11"/>
      <c r="T2" s="19"/>
    </row>
    <row r="3" spans="1:26" ht="14.25" customHeight="1" x14ac:dyDescent="0.25">
      <c r="A3" s="28">
        <v>2</v>
      </c>
      <c r="B3" s="21">
        <v>45145</v>
      </c>
      <c r="C3" s="16" t="s">
        <v>103</v>
      </c>
      <c r="D3" s="80" t="s">
        <v>104</v>
      </c>
      <c r="E3" s="80">
        <v>82</v>
      </c>
      <c r="F3" s="86" t="s">
        <v>30</v>
      </c>
      <c r="G3" s="91">
        <v>45140</v>
      </c>
      <c r="H3" s="82">
        <f t="shared" ref="H3:H20" si="0">DAYS360(G3,B3)</f>
        <v>5</v>
      </c>
      <c r="I3" s="80" t="s">
        <v>22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105</v>
      </c>
      <c r="R3" s="80" t="s">
        <v>19</v>
      </c>
      <c r="S3" s="121"/>
      <c r="T3" s="19"/>
    </row>
    <row r="4" spans="1:26" ht="14.25" customHeight="1" x14ac:dyDescent="0.25">
      <c r="A4" s="28">
        <v>3</v>
      </c>
      <c r="B4" s="21">
        <v>45145</v>
      </c>
      <c r="C4" s="80" t="s">
        <v>117</v>
      </c>
      <c r="D4" s="80" t="s">
        <v>118</v>
      </c>
      <c r="E4" s="80">
        <v>78</v>
      </c>
      <c r="F4" s="86" t="s">
        <v>30</v>
      </c>
      <c r="G4" s="91">
        <v>45141</v>
      </c>
      <c r="H4" s="82">
        <f t="shared" si="0"/>
        <v>4</v>
      </c>
      <c r="I4" s="80" t="s">
        <v>16</v>
      </c>
      <c r="J4" s="80">
        <v>1.5</v>
      </c>
      <c r="K4" s="80" t="s">
        <v>39</v>
      </c>
      <c r="L4" s="76" t="s">
        <v>41</v>
      </c>
      <c r="M4" s="80" t="s">
        <v>44</v>
      </c>
      <c r="N4" s="80"/>
      <c r="O4" s="80"/>
      <c r="P4" s="80"/>
      <c r="Q4" s="80" t="s">
        <v>119</v>
      </c>
      <c r="R4" s="80" t="s">
        <v>19</v>
      </c>
      <c r="S4" s="6"/>
      <c r="T4" s="19"/>
    </row>
    <row r="5" spans="1:26" ht="14.25" customHeight="1" x14ac:dyDescent="0.25">
      <c r="A5" s="28">
        <v>4</v>
      </c>
      <c r="B5" s="21">
        <v>45145</v>
      </c>
      <c r="C5" s="77" t="s">
        <v>47</v>
      </c>
      <c r="D5" s="77" t="s">
        <v>48</v>
      </c>
      <c r="E5" s="77">
        <v>73</v>
      </c>
      <c r="F5" s="86" t="s">
        <v>30</v>
      </c>
      <c r="G5" s="95">
        <v>45117</v>
      </c>
      <c r="H5" s="82">
        <f t="shared" si="0"/>
        <v>27</v>
      </c>
      <c r="I5" s="77" t="s">
        <v>16</v>
      </c>
      <c r="J5" s="77">
        <v>1.5</v>
      </c>
      <c r="K5" s="77" t="s">
        <v>17</v>
      </c>
      <c r="L5" s="76" t="s">
        <v>41</v>
      </c>
      <c r="M5" s="77" t="s">
        <v>32</v>
      </c>
      <c r="N5" s="77"/>
      <c r="O5" s="77"/>
      <c r="P5" s="77"/>
      <c r="Q5" s="77" t="s">
        <v>49</v>
      </c>
      <c r="R5" s="76" t="s">
        <v>19</v>
      </c>
      <c r="S5" s="6"/>
      <c r="T5" s="19"/>
    </row>
    <row r="6" spans="1:26" ht="14.25" customHeight="1" x14ac:dyDescent="0.25">
      <c r="A6" s="28">
        <v>5</v>
      </c>
      <c r="B6" s="21">
        <v>45145</v>
      </c>
      <c r="C6" s="80" t="s">
        <v>121</v>
      </c>
      <c r="D6" s="80" t="s">
        <v>123</v>
      </c>
      <c r="E6" s="80">
        <v>82</v>
      </c>
      <c r="F6" s="86" t="s">
        <v>30</v>
      </c>
      <c r="G6" s="91">
        <v>45142</v>
      </c>
      <c r="H6" s="82">
        <f t="shared" si="0"/>
        <v>3</v>
      </c>
      <c r="I6" s="80" t="s">
        <v>127</v>
      </c>
      <c r="J6" s="80">
        <v>1</v>
      </c>
      <c r="K6" s="80" t="s">
        <v>39</v>
      </c>
      <c r="L6" s="76" t="s">
        <v>41</v>
      </c>
      <c r="M6" s="80" t="s">
        <v>32</v>
      </c>
      <c r="N6" s="80"/>
      <c r="O6" s="80"/>
      <c r="P6" s="80"/>
      <c r="Q6" s="80" t="s">
        <v>129</v>
      </c>
      <c r="R6" s="80" t="s">
        <v>19</v>
      </c>
      <c r="S6" s="11"/>
      <c r="T6" s="19"/>
    </row>
    <row r="7" spans="1:26" ht="14.25" customHeight="1" x14ac:dyDescent="0.25">
      <c r="A7" s="28">
        <v>6</v>
      </c>
      <c r="B7" s="21">
        <v>45145</v>
      </c>
      <c r="C7" s="80" t="s">
        <v>121</v>
      </c>
      <c r="D7" s="80" t="s">
        <v>123</v>
      </c>
      <c r="E7" s="80">
        <v>82</v>
      </c>
      <c r="F7" s="86" t="s">
        <v>30</v>
      </c>
      <c r="G7" s="91">
        <v>45142</v>
      </c>
      <c r="H7" s="82">
        <f t="shared" si="0"/>
        <v>3</v>
      </c>
      <c r="I7" s="80" t="s">
        <v>127</v>
      </c>
      <c r="J7" s="80">
        <v>1</v>
      </c>
      <c r="K7" s="80" t="s">
        <v>39</v>
      </c>
      <c r="L7" s="76" t="s">
        <v>41</v>
      </c>
      <c r="M7" s="80" t="s">
        <v>32</v>
      </c>
      <c r="N7" s="80"/>
      <c r="O7" s="80"/>
      <c r="P7" s="80"/>
      <c r="Q7" s="80" t="s">
        <v>129</v>
      </c>
      <c r="R7" s="80" t="s">
        <v>19</v>
      </c>
      <c r="S7" s="11"/>
      <c r="T7" s="19"/>
    </row>
    <row r="8" spans="1:26" ht="14.25" customHeight="1" x14ac:dyDescent="0.25">
      <c r="A8" s="28">
        <v>7</v>
      </c>
      <c r="B8" s="21">
        <v>45145</v>
      </c>
      <c r="C8" s="80" t="s">
        <v>86</v>
      </c>
      <c r="D8" s="80" t="s">
        <v>87</v>
      </c>
      <c r="E8" s="80">
        <v>96</v>
      </c>
      <c r="F8" s="86" t="s">
        <v>30</v>
      </c>
      <c r="G8" s="91">
        <v>45133</v>
      </c>
      <c r="H8" s="82">
        <f t="shared" si="0"/>
        <v>11</v>
      </c>
      <c r="I8" s="80" t="s">
        <v>26</v>
      </c>
      <c r="J8" s="80">
        <v>1</v>
      </c>
      <c r="K8" s="80" t="s">
        <v>17</v>
      </c>
      <c r="L8" s="76" t="s">
        <v>41</v>
      </c>
      <c r="M8" s="80"/>
      <c r="N8" s="80"/>
      <c r="O8" s="80" t="s">
        <v>25</v>
      </c>
      <c r="P8" s="80"/>
      <c r="Q8" s="80" t="s">
        <v>88</v>
      </c>
      <c r="R8" s="105" t="s">
        <v>19</v>
      </c>
      <c r="S8" s="11"/>
      <c r="T8" s="19"/>
    </row>
    <row r="9" spans="1:26" ht="14.25" customHeight="1" x14ac:dyDescent="0.25">
      <c r="A9" s="28">
        <v>8</v>
      </c>
      <c r="B9" s="21">
        <v>45145</v>
      </c>
      <c r="C9" s="80" t="s">
        <v>95</v>
      </c>
      <c r="D9" s="80" t="s">
        <v>96</v>
      </c>
      <c r="E9" s="80">
        <v>74</v>
      </c>
      <c r="F9" s="86" t="s">
        <v>30</v>
      </c>
      <c r="G9" s="91">
        <v>45138</v>
      </c>
      <c r="H9" s="82">
        <f t="shared" si="0"/>
        <v>7</v>
      </c>
      <c r="I9" s="80" t="s">
        <v>97</v>
      </c>
      <c r="J9" s="80">
        <v>1.5</v>
      </c>
      <c r="K9" s="80" t="s">
        <v>17</v>
      </c>
      <c r="L9" s="76" t="s">
        <v>41</v>
      </c>
      <c r="M9" s="80" t="s">
        <v>44</v>
      </c>
      <c r="N9" s="80"/>
      <c r="O9" s="80"/>
      <c r="P9" s="80"/>
      <c r="Q9" s="80" t="s">
        <v>100</v>
      </c>
      <c r="R9" s="80" t="s">
        <v>19</v>
      </c>
      <c r="S9" s="6"/>
      <c r="T9" s="19"/>
    </row>
    <row r="10" spans="1:26" ht="14.25" customHeight="1" x14ac:dyDescent="0.25">
      <c r="A10" s="28">
        <v>9</v>
      </c>
      <c r="B10" s="21">
        <v>45145</v>
      </c>
      <c r="C10" s="83" t="s">
        <v>37</v>
      </c>
      <c r="D10" s="83" t="s">
        <v>38</v>
      </c>
      <c r="E10" s="83">
        <v>32</v>
      </c>
      <c r="F10" s="86" t="s">
        <v>30</v>
      </c>
      <c r="G10" s="97">
        <v>45125</v>
      </c>
      <c r="H10" s="82">
        <f t="shared" si="0"/>
        <v>19</v>
      </c>
      <c r="I10" s="83" t="s">
        <v>24</v>
      </c>
      <c r="J10" s="83">
        <v>1</v>
      </c>
      <c r="K10" s="83" t="s">
        <v>39</v>
      </c>
      <c r="L10" s="76" t="s">
        <v>41</v>
      </c>
      <c r="M10" s="83"/>
      <c r="N10" s="83"/>
      <c r="O10" s="83" t="s">
        <v>25</v>
      </c>
      <c r="P10" s="83"/>
      <c r="Q10" s="83" t="s">
        <v>74</v>
      </c>
      <c r="R10" s="76" t="s">
        <v>19</v>
      </c>
      <c r="S10" s="11"/>
      <c r="T10" s="19"/>
    </row>
    <row r="11" spans="1:26" ht="14.25" customHeight="1" x14ac:dyDescent="0.25">
      <c r="A11" s="28">
        <v>10</v>
      </c>
      <c r="B11" s="21">
        <v>45145</v>
      </c>
      <c r="C11" s="16" t="s">
        <v>102</v>
      </c>
      <c r="D11" s="80" t="s">
        <v>106</v>
      </c>
      <c r="E11" s="80">
        <v>68</v>
      </c>
      <c r="F11" s="86" t="s">
        <v>30</v>
      </c>
      <c r="G11" s="91">
        <v>45140</v>
      </c>
      <c r="H11" s="82">
        <f t="shared" si="0"/>
        <v>5</v>
      </c>
      <c r="I11" s="80" t="s">
        <v>22</v>
      </c>
      <c r="J11" s="80">
        <v>1</v>
      </c>
      <c r="K11" s="80" t="s">
        <v>17</v>
      </c>
      <c r="L11" s="76" t="s">
        <v>41</v>
      </c>
      <c r="M11" s="80" t="s">
        <v>27</v>
      </c>
      <c r="N11" s="80"/>
      <c r="O11" s="80"/>
      <c r="P11" s="80"/>
      <c r="Q11" s="80" t="s">
        <v>107</v>
      </c>
      <c r="R11" s="80" t="s">
        <v>19</v>
      </c>
      <c r="S11" s="11"/>
      <c r="T11" s="19"/>
    </row>
    <row r="12" spans="1:26" ht="14.25" customHeight="1" x14ac:dyDescent="0.25">
      <c r="A12" s="28">
        <v>11</v>
      </c>
      <c r="B12" s="21">
        <v>45145</v>
      </c>
      <c r="C12" s="80" t="s">
        <v>89</v>
      </c>
      <c r="D12" s="80" t="s">
        <v>90</v>
      </c>
      <c r="E12" s="80">
        <v>58</v>
      </c>
      <c r="F12" s="86" t="s">
        <v>30</v>
      </c>
      <c r="G12" s="91">
        <v>45136</v>
      </c>
      <c r="H12" s="82">
        <f t="shared" si="0"/>
        <v>8</v>
      </c>
      <c r="I12" s="80" t="s">
        <v>24</v>
      </c>
      <c r="J12" s="80">
        <v>1</v>
      </c>
      <c r="K12" s="80" t="s">
        <v>17</v>
      </c>
      <c r="L12" s="76" t="s">
        <v>41</v>
      </c>
      <c r="M12" s="80" t="s">
        <v>46</v>
      </c>
      <c r="N12" s="80"/>
      <c r="O12" s="80"/>
      <c r="P12" s="80"/>
      <c r="Q12" s="80" t="s">
        <v>91</v>
      </c>
      <c r="R12" s="80" t="s">
        <v>19</v>
      </c>
      <c r="S12" s="11"/>
      <c r="T12" s="19"/>
    </row>
    <row r="13" spans="1:26" ht="14.25" customHeight="1" x14ac:dyDescent="0.25">
      <c r="A13" s="28">
        <v>12</v>
      </c>
      <c r="B13" s="21">
        <v>45145</v>
      </c>
      <c r="C13" s="80" t="s">
        <v>132</v>
      </c>
      <c r="D13" s="80" t="s">
        <v>133</v>
      </c>
      <c r="E13" s="80">
        <v>29</v>
      </c>
      <c r="F13" s="86" t="s">
        <v>30</v>
      </c>
      <c r="G13" s="91">
        <v>45142</v>
      </c>
      <c r="H13" s="82">
        <f t="shared" si="0"/>
        <v>3</v>
      </c>
      <c r="I13" s="80" t="s">
        <v>26</v>
      </c>
      <c r="J13" s="80">
        <v>0.75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80" t="s">
        <v>128</v>
      </c>
      <c r="R13" s="80" t="s">
        <v>19</v>
      </c>
      <c r="S13" s="11"/>
      <c r="T13" s="19"/>
    </row>
    <row r="14" spans="1:26" ht="14.25" customHeight="1" x14ac:dyDescent="0.25">
      <c r="A14" s="28">
        <v>13</v>
      </c>
      <c r="B14" s="21">
        <v>45145</v>
      </c>
      <c r="C14" s="80" t="s">
        <v>109</v>
      </c>
      <c r="D14" s="80" t="s">
        <v>110</v>
      </c>
      <c r="E14" s="80">
        <v>56</v>
      </c>
      <c r="F14" s="86" t="s">
        <v>30</v>
      </c>
      <c r="G14" s="91">
        <v>45140</v>
      </c>
      <c r="H14" s="82">
        <f t="shared" si="0"/>
        <v>5</v>
      </c>
      <c r="I14" s="80" t="s">
        <v>111</v>
      </c>
      <c r="J14" s="80">
        <v>1.5</v>
      </c>
      <c r="K14" s="80" t="s">
        <v>17</v>
      </c>
      <c r="L14" s="76" t="s">
        <v>41</v>
      </c>
      <c r="M14" s="80" t="s">
        <v>44</v>
      </c>
      <c r="N14" s="80"/>
      <c r="O14" s="80"/>
      <c r="P14" s="80"/>
      <c r="Q14" s="80" t="s">
        <v>112</v>
      </c>
      <c r="R14" s="80" t="s">
        <v>19</v>
      </c>
      <c r="S14" s="11"/>
      <c r="T14" s="19"/>
    </row>
    <row r="15" spans="1:26" ht="14.25" customHeight="1" x14ac:dyDescent="0.25">
      <c r="A15" s="28">
        <v>14</v>
      </c>
      <c r="B15" s="21">
        <v>45145</v>
      </c>
      <c r="C15" s="80" t="s">
        <v>125</v>
      </c>
      <c r="D15" s="80" t="s">
        <v>126</v>
      </c>
      <c r="E15" s="80">
        <v>75</v>
      </c>
      <c r="F15" s="86" t="s">
        <v>30</v>
      </c>
      <c r="G15" s="91">
        <v>45142</v>
      </c>
      <c r="H15" s="82">
        <f t="shared" si="0"/>
        <v>3</v>
      </c>
      <c r="I15" s="80" t="s">
        <v>24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131</v>
      </c>
      <c r="R15" s="80" t="s">
        <v>19</v>
      </c>
      <c r="S15" s="11"/>
      <c r="T15" s="19"/>
    </row>
    <row r="16" spans="1:26" ht="14.25" customHeight="1" x14ac:dyDescent="0.25">
      <c r="A16" s="28">
        <v>15</v>
      </c>
      <c r="B16" s="21">
        <v>45145</v>
      </c>
      <c r="C16" s="80" t="s">
        <v>134</v>
      </c>
      <c r="D16" s="80" t="s">
        <v>135</v>
      </c>
      <c r="E16" s="80">
        <v>42</v>
      </c>
      <c r="F16" s="86" t="s">
        <v>30</v>
      </c>
      <c r="G16" s="91">
        <v>45143</v>
      </c>
      <c r="H16" s="82">
        <f t="shared" si="0"/>
        <v>2</v>
      </c>
      <c r="I16" s="80" t="s">
        <v>22</v>
      </c>
      <c r="J16" s="80">
        <v>0.75</v>
      </c>
      <c r="K16" s="80" t="s">
        <v>17</v>
      </c>
      <c r="L16" s="76" t="s">
        <v>41</v>
      </c>
      <c r="M16" s="80"/>
      <c r="N16" s="80"/>
      <c r="O16" s="80" t="s">
        <v>25</v>
      </c>
      <c r="P16" s="80"/>
      <c r="Q16" s="80" t="s">
        <v>58</v>
      </c>
      <c r="R16" s="80" t="s">
        <v>19</v>
      </c>
      <c r="S16" s="11"/>
      <c r="T16" s="19"/>
    </row>
    <row r="17" spans="1:20" ht="14.25" customHeight="1" x14ac:dyDescent="0.25">
      <c r="A17" s="28">
        <v>16</v>
      </c>
      <c r="B17" s="21">
        <v>45145</v>
      </c>
      <c r="C17" s="85" t="s">
        <v>42</v>
      </c>
      <c r="D17" s="86" t="s">
        <v>43</v>
      </c>
      <c r="E17" s="86">
        <v>41</v>
      </c>
      <c r="F17" s="86" t="s">
        <v>30</v>
      </c>
      <c r="G17" s="18">
        <v>45114</v>
      </c>
      <c r="H17" s="82">
        <f t="shared" si="0"/>
        <v>30</v>
      </c>
      <c r="I17" s="86" t="s">
        <v>22</v>
      </c>
      <c r="J17" s="86">
        <v>1</v>
      </c>
      <c r="K17" s="86" t="s">
        <v>39</v>
      </c>
      <c r="L17" s="76" t="s">
        <v>41</v>
      </c>
      <c r="M17" s="86" t="s">
        <v>44</v>
      </c>
      <c r="N17" s="86"/>
      <c r="O17" s="86"/>
      <c r="P17" s="86"/>
      <c r="Q17" s="86" t="s">
        <v>45</v>
      </c>
      <c r="R17" s="19" t="s">
        <v>19</v>
      </c>
      <c r="S17" s="19"/>
      <c r="T17" s="19"/>
    </row>
    <row r="18" spans="1:20" ht="14.25" customHeight="1" x14ac:dyDescent="0.25">
      <c r="A18" s="28">
        <v>17</v>
      </c>
      <c r="B18" s="21">
        <v>45145</v>
      </c>
      <c r="C18" s="80" t="s">
        <v>73</v>
      </c>
      <c r="D18" s="80" t="s">
        <v>75</v>
      </c>
      <c r="E18" s="80">
        <v>79</v>
      </c>
      <c r="F18" s="86" t="s">
        <v>30</v>
      </c>
      <c r="G18" s="91">
        <v>45125</v>
      </c>
      <c r="H18" s="82">
        <f t="shared" si="0"/>
        <v>19</v>
      </c>
      <c r="I18" s="80" t="s">
        <v>26</v>
      </c>
      <c r="J18" s="80">
        <v>1</v>
      </c>
      <c r="K18" s="80" t="s">
        <v>39</v>
      </c>
      <c r="L18" s="76" t="s">
        <v>41</v>
      </c>
      <c r="M18" s="80" t="s">
        <v>44</v>
      </c>
      <c r="N18" s="80"/>
      <c r="O18" s="80"/>
      <c r="P18" s="80"/>
      <c r="Q18" s="80" t="s">
        <v>76</v>
      </c>
      <c r="R18" s="76" t="s">
        <v>19</v>
      </c>
      <c r="S18" s="6"/>
      <c r="T18" s="6"/>
    </row>
    <row r="19" spans="1:20" ht="14.25" customHeight="1" x14ac:dyDescent="0.25">
      <c r="A19" s="28">
        <v>18</v>
      </c>
      <c r="B19" s="21">
        <v>45145</v>
      </c>
      <c r="C19" s="80" t="s">
        <v>79</v>
      </c>
      <c r="D19" s="80" t="s">
        <v>80</v>
      </c>
      <c r="E19" s="80">
        <v>66</v>
      </c>
      <c r="F19" s="86" t="s">
        <v>30</v>
      </c>
      <c r="G19" s="91">
        <v>45128</v>
      </c>
      <c r="H19" s="82">
        <f t="shared" si="0"/>
        <v>16</v>
      </c>
      <c r="I19" s="80" t="s">
        <v>16</v>
      </c>
      <c r="J19" s="80">
        <v>1</v>
      </c>
      <c r="K19" s="80" t="s">
        <v>17</v>
      </c>
      <c r="L19" s="76" t="s">
        <v>41</v>
      </c>
      <c r="M19" s="80" t="s">
        <v>27</v>
      </c>
      <c r="N19" s="80"/>
      <c r="O19" s="80"/>
      <c r="P19" s="80"/>
      <c r="Q19" s="80" t="s">
        <v>76</v>
      </c>
      <c r="R19" s="76" t="s">
        <v>19</v>
      </c>
      <c r="S19" s="11"/>
      <c r="T19" s="19"/>
    </row>
    <row r="20" spans="1:20" ht="14.25" customHeight="1" x14ac:dyDescent="0.25">
      <c r="A20" s="28">
        <v>19</v>
      </c>
      <c r="B20" s="21">
        <v>45145</v>
      </c>
      <c r="C20" s="80" t="s">
        <v>98</v>
      </c>
      <c r="D20" s="80" t="s">
        <v>99</v>
      </c>
      <c r="E20" s="80">
        <v>85</v>
      </c>
      <c r="F20" s="86" t="s">
        <v>30</v>
      </c>
      <c r="G20" s="91">
        <v>45138</v>
      </c>
      <c r="H20" s="82">
        <f t="shared" si="0"/>
        <v>7</v>
      </c>
      <c r="I20" s="80" t="s">
        <v>16</v>
      </c>
      <c r="J20" s="80">
        <v>1</v>
      </c>
      <c r="K20" s="80" t="s">
        <v>17</v>
      </c>
      <c r="L20" s="76" t="s">
        <v>41</v>
      </c>
      <c r="M20" s="80" t="s">
        <v>44</v>
      </c>
      <c r="N20" s="80"/>
      <c r="O20" s="80"/>
      <c r="P20" s="80"/>
      <c r="Q20" s="80" t="s">
        <v>101</v>
      </c>
      <c r="R20" s="80" t="s">
        <v>19</v>
      </c>
      <c r="S20" s="11"/>
      <c r="T20" s="19"/>
    </row>
    <row r="21" spans="1:20" ht="14.25" customHeight="1" x14ac:dyDescent="0.25">
      <c r="A21" s="28"/>
      <c r="B21" s="19"/>
      <c r="C21" s="19"/>
      <c r="D21" s="19"/>
      <c r="E21" s="19"/>
      <c r="F21" s="86"/>
      <c r="G21" s="19"/>
      <c r="H21" s="2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4.25" customHeight="1" x14ac:dyDescent="0.25">
      <c r="A22" s="28"/>
      <c r="B22" s="19"/>
      <c r="C22" s="19"/>
      <c r="D22" s="19"/>
      <c r="E22" s="19"/>
      <c r="F22" s="19"/>
      <c r="G22" s="19"/>
      <c r="H22" s="2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4.25" customHeight="1" x14ac:dyDescent="0.25"/>
    <row r="24" spans="1:20" ht="14.25" customHeight="1" x14ac:dyDescent="0.25"/>
    <row r="25" spans="1:20" ht="14.25" customHeight="1" x14ac:dyDescent="0.25"/>
    <row r="26" spans="1:20" ht="14.25" customHeight="1" x14ac:dyDescent="0.25"/>
    <row r="27" spans="1:20" ht="14.25" customHeight="1" x14ac:dyDescent="0.25"/>
    <row r="28" spans="1:20" ht="14.25" customHeight="1" x14ac:dyDescent="0.25"/>
    <row r="29" spans="1:20" ht="14.25" customHeight="1" x14ac:dyDescent="0.25"/>
    <row r="30" spans="1:20" ht="14.25" customHeight="1" x14ac:dyDescent="0.25"/>
    <row r="31" spans="1:20" ht="14.25" customHeight="1" x14ac:dyDescent="0.25"/>
    <row r="32" spans="1:20" ht="14.25" customHeight="1" x14ac:dyDescent="0.25">
      <c r="G32" s="33">
        <v>0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2"/>
  <sheetViews>
    <sheetView topLeftCell="F1" zoomScale="80" zoomScaleNormal="80" workbookViewId="0">
      <selection activeCell="Q8" sqref="Q8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11.42578125" style="98" customWidth="1"/>
    <col min="9" max="9" width="11.855468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3.140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6" ht="27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66</v>
      </c>
      <c r="S1" s="25" t="s">
        <v>15</v>
      </c>
      <c r="T1" s="25" t="s">
        <v>67</v>
      </c>
      <c r="U1" s="33"/>
      <c r="V1" s="33"/>
      <c r="W1" s="33"/>
      <c r="X1" s="33"/>
      <c r="Y1" s="33"/>
      <c r="Z1" s="33"/>
    </row>
    <row r="2" spans="1:26" ht="14.25" customHeight="1" x14ac:dyDescent="0.25">
      <c r="A2" s="28">
        <v>1</v>
      </c>
      <c r="B2" s="21">
        <v>45146</v>
      </c>
      <c r="C2" s="16" t="s">
        <v>103</v>
      </c>
      <c r="D2" s="80" t="s">
        <v>104</v>
      </c>
      <c r="E2" s="80">
        <v>82</v>
      </c>
      <c r="F2" s="77" t="s">
        <v>30</v>
      </c>
      <c r="G2" s="91">
        <v>45140</v>
      </c>
      <c r="H2" s="82">
        <f>DAYS360(G2,B2)</f>
        <v>6</v>
      </c>
      <c r="I2" s="80" t="s">
        <v>22</v>
      </c>
      <c r="J2" s="80">
        <v>1</v>
      </c>
      <c r="K2" s="80" t="s">
        <v>17</v>
      </c>
      <c r="L2" s="76" t="s">
        <v>41</v>
      </c>
      <c r="M2" s="80" t="s">
        <v>52</v>
      </c>
      <c r="N2" s="80"/>
      <c r="O2" s="80"/>
      <c r="P2" s="80"/>
      <c r="Q2" s="80" t="s">
        <v>105</v>
      </c>
      <c r="R2" s="80" t="s">
        <v>19</v>
      </c>
      <c r="S2" s="11"/>
      <c r="T2" s="19"/>
    </row>
    <row r="3" spans="1:26" ht="14.25" customHeight="1" x14ac:dyDescent="0.25">
      <c r="A3" s="28">
        <v>2</v>
      </c>
      <c r="B3" s="21">
        <v>45146</v>
      </c>
      <c r="C3" s="16" t="s">
        <v>103</v>
      </c>
      <c r="D3" s="80" t="s">
        <v>104</v>
      </c>
      <c r="E3" s="80">
        <v>82</v>
      </c>
      <c r="F3" s="77" t="s">
        <v>30</v>
      </c>
      <c r="G3" s="91">
        <v>45140</v>
      </c>
      <c r="H3" s="82">
        <f t="shared" ref="H3:H19" si="0">DAYS360(G3,B3)</f>
        <v>6</v>
      </c>
      <c r="I3" s="80" t="s">
        <v>22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105</v>
      </c>
      <c r="R3" s="80" t="s">
        <v>19</v>
      </c>
      <c r="S3" s="121"/>
      <c r="T3" s="19"/>
    </row>
    <row r="4" spans="1:26" ht="14.25" customHeight="1" x14ac:dyDescent="0.25">
      <c r="A4" s="28">
        <v>3</v>
      </c>
      <c r="B4" s="21">
        <v>45146</v>
      </c>
      <c r="C4" s="80" t="s">
        <v>134</v>
      </c>
      <c r="D4" s="80" t="s">
        <v>135</v>
      </c>
      <c r="E4" s="80">
        <v>42</v>
      </c>
      <c r="F4" s="77" t="s">
        <v>30</v>
      </c>
      <c r="G4" s="91">
        <v>45143</v>
      </c>
      <c r="H4" s="82">
        <f t="shared" si="0"/>
        <v>3</v>
      </c>
      <c r="I4" s="80" t="s">
        <v>22</v>
      </c>
      <c r="J4" s="80">
        <v>0.75</v>
      </c>
      <c r="K4" s="80" t="s">
        <v>17</v>
      </c>
      <c r="L4" s="76" t="s">
        <v>41</v>
      </c>
      <c r="M4" s="80"/>
      <c r="N4" s="80"/>
      <c r="O4" s="80" t="s">
        <v>25</v>
      </c>
      <c r="P4" s="80"/>
      <c r="Q4" s="80" t="s">
        <v>58</v>
      </c>
      <c r="R4" s="80" t="s">
        <v>19</v>
      </c>
      <c r="S4" s="6"/>
      <c r="T4" s="19"/>
    </row>
    <row r="5" spans="1:26" ht="14.25" customHeight="1" x14ac:dyDescent="0.25">
      <c r="A5" s="28">
        <v>4</v>
      </c>
      <c r="B5" s="21">
        <v>45146</v>
      </c>
      <c r="C5" s="80" t="s">
        <v>134</v>
      </c>
      <c r="D5" s="80" t="s">
        <v>135</v>
      </c>
      <c r="E5" s="80">
        <v>42</v>
      </c>
      <c r="F5" s="77" t="s">
        <v>30</v>
      </c>
      <c r="G5" s="91">
        <v>45143</v>
      </c>
      <c r="H5" s="82">
        <f t="shared" si="0"/>
        <v>3</v>
      </c>
      <c r="I5" s="80" t="s">
        <v>22</v>
      </c>
      <c r="J5" s="80">
        <v>0.75</v>
      </c>
      <c r="K5" s="80" t="s">
        <v>17</v>
      </c>
      <c r="L5" s="76" t="s">
        <v>41</v>
      </c>
      <c r="M5" s="80"/>
      <c r="N5" s="80"/>
      <c r="O5" s="80" t="s">
        <v>25</v>
      </c>
      <c r="P5" s="80"/>
      <c r="Q5" s="80" t="s">
        <v>58</v>
      </c>
      <c r="R5" s="80" t="s">
        <v>19</v>
      </c>
      <c r="S5" s="6"/>
      <c r="T5" s="19"/>
    </row>
    <row r="6" spans="1:26" ht="14.25" customHeight="1" x14ac:dyDescent="0.25">
      <c r="A6" s="28">
        <v>5</v>
      </c>
      <c r="B6" s="21">
        <v>45146</v>
      </c>
      <c r="C6" s="80" t="s">
        <v>136</v>
      </c>
      <c r="D6" s="80" t="s">
        <v>138</v>
      </c>
      <c r="E6" s="80">
        <v>29</v>
      </c>
      <c r="F6" s="77" t="s">
        <v>30</v>
      </c>
      <c r="G6" s="91">
        <v>45145</v>
      </c>
      <c r="H6" s="82">
        <f t="shared" si="0"/>
        <v>1</v>
      </c>
      <c r="I6" s="80" t="s">
        <v>22</v>
      </c>
      <c r="J6" s="80">
        <v>0.75</v>
      </c>
      <c r="K6" s="80" t="s">
        <v>17</v>
      </c>
      <c r="L6" s="76" t="s">
        <v>41</v>
      </c>
      <c r="M6" s="80"/>
      <c r="N6" s="80"/>
      <c r="O6" s="80" t="s">
        <v>25</v>
      </c>
      <c r="P6" s="80"/>
      <c r="Q6" s="80" t="s">
        <v>94</v>
      </c>
      <c r="R6" s="80" t="s">
        <v>19</v>
      </c>
      <c r="S6" s="6"/>
      <c r="T6" s="19"/>
    </row>
    <row r="7" spans="1:26" ht="14.25" customHeight="1" x14ac:dyDescent="0.25">
      <c r="A7" s="28">
        <v>6</v>
      </c>
      <c r="B7" s="21">
        <v>45146</v>
      </c>
      <c r="C7" s="80" t="s">
        <v>137</v>
      </c>
      <c r="D7" s="80" t="s">
        <v>139</v>
      </c>
      <c r="E7" s="80">
        <v>49</v>
      </c>
      <c r="F7" s="77" t="s">
        <v>30</v>
      </c>
      <c r="G7" s="91">
        <v>45145</v>
      </c>
      <c r="H7" s="82">
        <f t="shared" si="0"/>
        <v>1</v>
      </c>
      <c r="I7" s="80" t="s">
        <v>127</v>
      </c>
      <c r="J7" s="80">
        <v>1</v>
      </c>
      <c r="K7" s="80" t="s">
        <v>39</v>
      </c>
      <c r="L7" s="76" t="s">
        <v>41</v>
      </c>
      <c r="M7" s="80"/>
      <c r="N7" s="80"/>
      <c r="O7" s="80" t="s">
        <v>69</v>
      </c>
      <c r="P7" s="80"/>
      <c r="Q7" s="80" t="s">
        <v>140</v>
      </c>
      <c r="R7" s="80" t="s">
        <v>19</v>
      </c>
      <c r="S7" s="121"/>
      <c r="T7" s="19"/>
    </row>
    <row r="8" spans="1:26" ht="14.25" customHeight="1" x14ac:dyDescent="0.25">
      <c r="A8" s="28">
        <v>7</v>
      </c>
      <c r="B8" s="21">
        <v>45146</v>
      </c>
      <c r="C8" s="80" t="s">
        <v>137</v>
      </c>
      <c r="D8" s="80" t="s">
        <v>139</v>
      </c>
      <c r="E8" s="80">
        <v>49</v>
      </c>
      <c r="F8" s="77" t="s">
        <v>30</v>
      </c>
      <c r="G8" s="91">
        <v>45145</v>
      </c>
      <c r="H8" s="82">
        <f t="shared" si="0"/>
        <v>1</v>
      </c>
      <c r="I8" s="80" t="s">
        <v>127</v>
      </c>
      <c r="J8" s="80">
        <v>1</v>
      </c>
      <c r="K8" s="80" t="s">
        <v>39</v>
      </c>
      <c r="L8" s="76" t="s">
        <v>41</v>
      </c>
      <c r="M8" s="80"/>
      <c r="N8" s="80"/>
      <c r="O8" s="80" t="s">
        <v>69</v>
      </c>
      <c r="P8" s="80"/>
      <c r="Q8" s="80" t="s">
        <v>140</v>
      </c>
      <c r="R8" s="80" t="s">
        <v>19</v>
      </c>
      <c r="S8" s="11"/>
      <c r="T8" s="19"/>
    </row>
    <row r="9" spans="1:26" ht="14.25" customHeight="1" x14ac:dyDescent="0.25">
      <c r="A9" s="28">
        <v>8</v>
      </c>
      <c r="B9" s="21">
        <v>45146</v>
      </c>
      <c r="C9" s="77" t="s">
        <v>28</v>
      </c>
      <c r="D9" s="77" t="s">
        <v>29</v>
      </c>
      <c r="E9" s="77">
        <v>81</v>
      </c>
      <c r="F9" s="77" t="s">
        <v>30</v>
      </c>
      <c r="G9" s="95">
        <v>45105</v>
      </c>
      <c r="H9" s="82">
        <f t="shared" si="0"/>
        <v>40</v>
      </c>
      <c r="I9" s="77" t="s">
        <v>31</v>
      </c>
      <c r="J9" s="77">
        <v>1.5</v>
      </c>
      <c r="K9" s="77" t="s">
        <v>17</v>
      </c>
      <c r="L9" s="76" t="s">
        <v>41</v>
      </c>
      <c r="M9" s="77" t="s">
        <v>32</v>
      </c>
      <c r="N9" s="77"/>
      <c r="O9" s="77"/>
      <c r="P9" s="77"/>
      <c r="Q9" s="77" t="s">
        <v>33</v>
      </c>
      <c r="R9" s="76" t="s">
        <v>19</v>
      </c>
      <c r="S9" s="11"/>
      <c r="T9" s="19"/>
    </row>
    <row r="10" spans="1:26" ht="14.25" customHeight="1" x14ac:dyDescent="0.25">
      <c r="A10" s="28">
        <v>9</v>
      </c>
      <c r="B10" s="21">
        <v>45146</v>
      </c>
      <c r="C10" s="80" t="s">
        <v>113</v>
      </c>
      <c r="D10" s="80" t="s">
        <v>115</v>
      </c>
      <c r="E10" s="80">
        <v>60</v>
      </c>
      <c r="F10" s="77" t="s">
        <v>30</v>
      </c>
      <c r="G10" s="91">
        <v>45141</v>
      </c>
      <c r="H10" s="82">
        <f t="shared" si="0"/>
        <v>5</v>
      </c>
      <c r="I10" s="80" t="s">
        <v>26</v>
      </c>
      <c r="J10" s="80">
        <v>1</v>
      </c>
      <c r="K10" s="80" t="s">
        <v>17</v>
      </c>
      <c r="L10" s="76" t="s">
        <v>41</v>
      </c>
      <c r="M10" s="80" t="s">
        <v>52</v>
      </c>
      <c r="N10" s="80" t="s">
        <v>27</v>
      </c>
      <c r="O10" s="80"/>
      <c r="P10" s="80"/>
      <c r="Q10" s="80" t="s">
        <v>116</v>
      </c>
      <c r="R10" s="80" t="s">
        <v>19</v>
      </c>
      <c r="S10" s="5"/>
      <c r="T10" s="19"/>
    </row>
    <row r="11" spans="1:26" ht="14.25" customHeight="1" x14ac:dyDescent="0.25">
      <c r="A11" s="28">
        <v>10</v>
      </c>
      <c r="B11" s="21">
        <v>45146</v>
      </c>
      <c r="C11" s="80" t="s">
        <v>121</v>
      </c>
      <c r="D11" s="80" t="s">
        <v>123</v>
      </c>
      <c r="E11" s="80">
        <v>82</v>
      </c>
      <c r="F11" s="77" t="s">
        <v>30</v>
      </c>
      <c r="G11" s="91">
        <v>45142</v>
      </c>
      <c r="H11" s="82">
        <f t="shared" si="0"/>
        <v>4</v>
      </c>
      <c r="I11" s="80" t="s">
        <v>127</v>
      </c>
      <c r="J11" s="80">
        <v>1</v>
      </c>
      <c r="K11" s="80" t="s">
        <v>39</v>
      </c>
      <c r="L11" s="76" t="s">
        <v>41</v>
      </c>
      <c r="M11" s="80" t="s">
        <v>32</v>
      </c>
      <c r="N11" s="80"/>
      <c r="O11" s="80"/>
      <c r="P11" s="80"/>
      <c r="Q11" s="80" t="s">
        <v>129</v>
      </c>
      <c r="R11" s="80" t="s">
        <v>19</v>
      </c>
      <c r="S11" s="11"/>
      <c r="T11" s="19"/>
    </row>
    <row r="12" spans="1:26" ht="14.25" customHeight="1" x14ac:dyDescent="0.25">
      <c r="A12" s="28">
        <v>11</v>
      </c>
      <c r="B12" s="21">
        <v>45146</v>
      </c>
      <c r="C12" s="77" t="s">
        <v>47</v>
      </c>
      <c r="D12" s="77" t="s">
        <v>48</v>
      </c>
      <c r="E12" s="77">
        <v>73</v>
      </c>
      <c r="F12" s="77" t="s">
        <v>30</v>
      </c>
      <c r="G12" s="95">
        <v>45117</v>
      </c>
      <c r="H12" s="82">
        <f t="shared" si="0"/>
        <v>28</v>
      </c>
      <c r="I12" s="77" t="s">
        <v>16</v>
      </c>
      <c r="J12" s="77">
        <v>1.5</v>
      </c>
      <c r="K12" s="77" t="s">
        <v>17</v>
      </c>
      <c r="L12" s="76" t="s">
        <v>41</v>
      </c>
      <c r="M12" s="77" t="s">
        <v>32</v>
      </c>
      <c r="N12" s="77"/>
      <c r="O12" s="77"/>
      <c r="P12" s="77"/>
      <c r="Q12" s="77" t="s">
        <v>49</v>
      </c>
      <c r="R12" s="76" t="s">
        <v>19</v>
      </c>
      <c r="S12" s="11"/>
      <c r="T12" s="19"/>
    </row>
    <row r="13" spans="1:26" ht="14.25" customHeight="1" x14ac:dyDescent="0.25">
      <c r="A13" s="28">
        <v>12</v>
      </c>
      <c r="B13" s="21">
        <v>45146</v>
      </c>
      <c r="C13" s="80" t="s">
        <v>117</v>
      </c>
      <c r="D13" s="80" t="s">
        <v>118</v>
      </c>
      <c r="E13" s="80">
        <v>78</v>
      </c>
      <c r="F13" s="77" t="s">
        <v>30</v>
      </c>
      <c r="G13" s="91">
        <v>45141</v>
      </c>
      <c r="H13" s="82">
        <f t="shared" si="0"/>
        <v>5</v>
      </c>
      <c r="I13" s="80" t="s">
        <v>16</v>
      </c>
      <c r="J13" s="80">
        <v>1.5</v>
      </c>
      <c r="K13" s="80" t="s">
        <v>39</v>
      </c>
      <c r="L13" s="76" t="s">
        <v>41</v>
      </c>
      <c r="M13" s="80" t="s">
        <v>44</v>
      </c>
      <c r="N13" s="80" t="s">
        <v>27</v>
      </c>
      <c r="O13" s="80"/>
      <c r="P13" s="80"/>
      <c r="Q13" s="80" t="s">
        <v>119</v>
      </c>
      <c r="R13" s="80" t="s">
        <v>19</v>
      </c>
      <c r="S13" s="11"/>
      <c r="T13" s="19"/>
    </row>
    <row r="14" spans="1:26" ht="14.25" customHeight="1" x14ac:dyDescent="0.25">
      <c r="A14" s="28">
        <v>13</v>
      </c>
      <c r="B14" s="21">
        <v>45146</v>
      </c>
      <c r="C14" s="80" t="s">
        <v>89</v>
      </c>
      <c r="D14" s="80" t="s">
        <v>90</v>
      </c>
      <c r="E14" s="80">
        <v>58</v>
      </c>
      <c r="F14" s="77" t="s">
        <v>30</v>
      </c>
      <c r="G14" s="91">
        <v>45136</v>
      </c>
      <c r="H14" s="82">
        <f t="shared" si="0"/>
        <v>9</v>
      </c>
      <c r="I14" s="80" t="s">
        <v>24</v>
      </c>
      <c r="J14" s="80">
        <v>1</v>
      </c>
      <c r="K14" s="80" t="s">
        <v>17</v>
      </c>
      <c r="L14" s="76" t="s">
        <v>41</v>
      </c>
      <c r="M14" s="80" t="s">
        <v>46</v>
      </c>
      <c r="N14" s="80"/>
      <c r="O14" s="80"/>
      <c r="P14" s="80"/>
      <c r="Q14" s="80" t="s">
        <v>91</v>
      </c>
      <c r="R14" s="80" t="s">
        <v>19</v>
      </c>
      <c r="S14" s="6"/>
      <c r="T14" s="19"/>
    </row>
    <row r="15" spans="1:26" ht="14.25" customHeight="1" x14ac:dyDescent="0.25">
      <c r="A15" s="28">
        <v>14</v>
      </c>
      <c r="B15" s="21">
        <v>45146</v>
      </c>
      <c r="C15" s="80" t="s">
        <v>83</v>
      </c>
      <c r="D15" s="80" t="s">
        <v>84</v>
      </c>
      <c r="E15" s="80">
        <v>81</v>
      </c>
      <c r="F15" s="77" t="s">
        <v>30</v>
      </c>
      <c r="G15" s="91">
        <v>45129</v>
      </c>
      <c r="H15" s="82">
        <f t="shared" si="0"/>
        <v>16</v>
      </c>
      <c r="I15" s="80" t="s">
        <v>26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85</v>
      </c>
      <c r="R15" s="76" t="s">
        <v>19</v>
      </c>
      <c r="S15" s="6"/>
      <c r="T15" s="19"/>
    </row>
    <row r="16" spans="1:26" ht="14.25" customHeight="1" x14ac:dyDescent="0.25">
      <c r="A16" s="28">
        <v>15</v>
      </c>
      <c r="B16" s="21">
        <v>45146</v>
      </c>
      <c r="C16" s="83" t="s">
        <v>37</v>
      </c>
      <c r="D16" s="83" t="s">
        <v>38</v>
      </c>
      <c r="E16" s="83">
        <v>32</v>
      </c>
      <c r="F16" s="77" t="s">
        <v>30</v>
      </c>
      <c r="G16" s="97">
        <v>45125</v>
      </c>
      <c r="H16" s="82">
        <f t="shared" si="0"/>
        <v>20</v>
      </c>
      <c r="I16" s="83" t="s">
        <v>24</v>
      </c>
      <c r="J16" s="83">
        <v>0.75</v>
      </c>
      <c r="K16" s="83" t="s">
        <v>39</v>
      </c>
      <c r="L16" s="76" t="s">
        <v>41</v>
      </c>
      <c r="M16" s="83"/>
      <c r="N16" s="83"/>
      <c r="O16" s="83" t="s">
        <v>25</v>
      </c>
      <c r="P16" s="83"/>
      <c r="Q16" s="83" t="s">
        <v>74</v>
      </c>
      <c r="R16" s="76" t="s">
        <v>19</v>
      </c>
      <c r="S16" s="6"/>
      <c r="T16" s="19"/>
    </row>
    <row r="17" spans="1:20" ht="14.25" customHeight="1" x14ac:dyDescent="0.25">
      <c r="A17" s="28">
        <v>16</v>
      </c>
      <c r="B17" s="21">
        <v>45146</v>
      </c>
      <c r="C17" s="80" t="s">
        <v>125</v>
      </c>
      <c r="D17" s="80" t="s">
        <v>126</v>
      </c>
      <c r="E17" s="80">
        <v>75</v>
      </c>
      <c r="F17" s="77" t="s">
        <v>30</v>
      </c>
      <c r="G17" s="91">
        <v>45142</v>
      </c>
      <c r="H17" s="82">
        <f t="shared" si="0"/>
        <v>4</v>
      </c>
      <c r="I17" s="80" t="s">
        <v>24</v>
      </c>
      <c r="J17" s="80">
        <v>1</v>
      </c>
      <c r="K17" s="80" t="s">
        <v>17</v>
      </c>
      <c r="L17" s="76" t="s">
        <v>41</v>
      </c>
      <c r="M17" s="80" t="s">
        <v>27</v>
      </c>
      <c r="N17" s="80" t="s">
        <v>46</v>
      </c>
      <c r="O17" s="80"/>
      <c r="P17" s="80"/>
      <c r="Q17" s="80" t="s">
        <v>131</v>
      </c>
      <c r="R17" s="80" t="s">
        <v>19</v>
      </c>
      <c r="S17" s="11"/>
      <c r="T17" s="19"/>
    </row>
    <row r="18" spans="1:20" ht="14.25" customHeight="1" x14ac:dyDescent="0.25">
      <c r="A18" s="28">
        <v>17</v>
      </c>
      <c r="B18" s="21">
        <v>45146</v>
      </c>
      <c r="C18" s="80" t="s">
        <v>73</v>
      </c>
      <c r="D18" s="80" t="s">
        <v>75</v>
      </c>
      <c r="E18" s="80">
        <v>79</v>
      </c>
      <c r="F18" s="77" t="s">
        <v>30</v>
      </c>
      <c r="G18" s="91">
        <v>45125</v>
      </c>
      <c r="H18" s="82">
        <f t="shared" si="0"/>
        <v>20</v>
      </c>
      <c r="I18" s="80" t="s">
        <v>26</v>
      </c>
      <c r="J18" s="80">
        <v>1</v>
      </c>
      <c r="K18" s="80" t="s">
        <v>39</v>
      </c>
      <c r="L18" s="76" t="s">
        <v>41</v>
      </c>
      <c r="M18" s="80" t="s">
        <v>44</v>
      </c>
      <c r="N18" s="80"/>
      <c r="O18" s="80"/>
      <c r="P18" s="80"/>
      <c r="Q18" s="80" t="s">
        <v>76</v>
      </c>
      <c r="R18" s="76" t="s">
        <v>19</v>
      </c>
      <c r="S18" s="11"/>
      <c r="T18" s="19"/>
    </row>
    <row r="19" spans="1:20" ht="14.25" customHeight="1" x14ac:dyDescent="0.25">
      <c r="A19" s="28">
        <v>18</v>
      </c>
      <c r="B19" s="21">
        <v>45146</v>
      </c>
      <c r="C19" s="80" t="s">
        <v>122</v>
      </c>
      <c r="D19" s="80" t="s">
        <v>124</v>
      </c>
      <c r="E19" s="80">
        <v>71</v>
      </c>
      <c r="F19" s="77" t="s">
        <v>30</v>
      </c>
      <c r="G19" s="91">
        <v>45142</v>
      </c>
      <c r="H19" s="82">
        <f t="shared" si="0"/>
        <v>4</v>
      </c>
      <c r="I19" s="80" t="s">
        <v>24</v>
      </c>
      <c r="J19" s="80">
        <v>1</v>
      </c>
      <c r="K19" s="80" t="s">
        <v>17</v>
      </c>
      <c r="L19" s="76" t="s">
        <v>41</v>
      </c>
      <c r="M19" s="80" t="s">
        <v>27</v>
      </c>
      <c r="N19" s="80"/>
      <c r="O19" s="80"/>
      <c r="P19" s="80"/>
      <c r="Q19" s="80" t="s">
        <v>130</v>
      </c>
      <c r="R19" s="80" t="s">
        <v>19</v>
      </c>
      <c r="S19" s="6"/>
      <c r="T19" s="19"/>
    </row>
    <row r="20" spans="1:20" ht="14.25" customHeight="1" x14ac:dyDescent="0.25">
      <c r="A20" s="28"/>
      <c r="B20" s="21"/>
      <c r="C20" s="22"/>
      <c r="D20" s="22"/>
      <c r="E20" s="29"/>
      <c r="F20" s="19"/>
      <c r="G20" s="13"/>
      <c r="H20" s="12"/>
      <c r="I20" s="11"/>
      <c r="J20" s="22"/>
      <c r="K20" s="22"/>
      <c r="L20" s="22"/>
      <c r="M20" s="11"/>
      <c r="N20" s="11"/>
      <c r="O20" s="11"/>
      <c r="P20" s="11"/>
      <c r="Q20" s="22"/>
      <c r="R20" s="11"/>
      <c r="S20" s="11"/>
      <c r="T20" s="19"/>
    </row>
    <row r="21" spans="1:20" ht="14.25" customHeight="1" x14ac:dyDescent="0.25">
      <c r="A21" s="28"/>
      <c r="B21" s="19"/>
      <c r="C21" s="19"/>
      <c r="D21" s="19"/>
      <c r="E21" s="19"/>
      <c r="F21" s="19"/>
      <c r="G21" s="19"/>
      <c r="H21" s="20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4.25" customHeight="1" x14ac:dyDescent="0.25">
      <c r="A22" s="28"/>
      <c r="B22" s="19"/>
      <c r="C22" s="19"/>
      <c r="D22" s="19"/>
      <c r="E22" s="19"/>
      <c r="F22" s="19"/>
      <c r="G22" s="19"/>
      <c r="H22" s="20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4.25" customHeight="1" x14ac:dyDescent="0.25">
      <c r="A23" s="28"/>
      <c r="B23" s="19"/>
      <c r="C23" s="19"/>
      <c r="D23" s="19"/>
      <c r="E23" s="19"/>
      <c r="F23" s="19"/>
      <c r="G23" s="19"/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4.25" customHeight="1" x14ac:dyDescent="0.25">
      <c r="A24" s="28">
        <v>20</v>
      </c>
      <c r="B24" s="19"/>
      <c r="C24" s="19"/>
      <c r="D24" s="19"/>
      <c r="E24" s="19"/>
      <c r="F24" s="19"/>
      <c r="G24" s="19"/>
      <c r="H24" s="2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4.25" customHeight="1" x14ac:dyDescent="0.25"/>
    <row r="26" spans="1:20" ht="14.25" customHeight="1" x14ac:dyDescent="0.25"/>
    <row r="27" spans="1:20" ht="14.25" customHeight="1" x14ac:dyDescent="0.25"/>
    <row r="28" spans="1:20" ht="14.25" customHeight="1" x14ac:dyDescent="0.25"/>
    <row r="29" spans="1:20" ht="14.25" customHeight="1" x14ac:dyDescent="0.25"/>
    <row r="30" spans="1:20" ht="14.25" customHeight="1" x14ac:dyDescent="0.25"/>
    <row r="31" spans="1:20" ht="14.25" customHeight="1" x14ac:dyDescent="0.25"/>
    <row r="32" spans="1:2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2"/>
  <sheetViews>
    <sheetView zoomScale="60" zoomScaleNormal="60" workbookViewId="0">
      <selection activeCell="N10" sqref="N10"/>
    </sheetView>
  </sheetViews>
  <sheetFormatPr baseColWidth="10" defaultColWidth="14.42578125" defaultRowHeight="15" customHeight="1" x14ac:dyDescent="0.25"/>
  <cols>
    <col min="1" max="1" width="4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8.57031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4.710937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6" ht="28.5" customHeight="1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66</v>
      </c>
      <c r="S1" s="25" t="s">
        <v>15</v>
      </c>
      <c r="T1" s="25" t="s">
        <v>67</v>
      </c>
      <c r="U1" s="33"/>
      <c r="V1" s="33"/>
      <c r="W1" s="33"/>
      <c r="X1" s="33"/>
      <c r="Y1" s="33"/>
      <c r="Z1" s="33"/>
    </row>
    <row r="2" spans="1:26" ht="14.25" customHeight="1" x14ac:dyDescent="0.25">
      <c r="A2" s="28">
        <v>1</v>
      </c>
      <c r="B2" s="13">
        <v>45147</v>
      </c>
      <c r="C2" s="77" t="s">
        <v>47</v>
      </c>
      <c r="D2" s="77" t="s">
        <v>48</v>
      </c>
      <c r="E2" s="77">
        <v>73</v>
      </c>
      <c r="F2" s="77" t="s">
        <v>30</v>
      </c>
      <c r="G2" s="95">
        <v>45117</v>
      </c>
      <c r="H2" s="78">
        <f>DAYS360(G2,B2)</f>
        <v>29</v>
      </c>
      <c r="I2" s="77" t="s">
        <v>16</v>
      </c>
      <c r="J2" s="77">
        <v>1.5</v>
      </c>
      <c r="K2" s="77" t="s">
        <v>17</v>
      </c>
      <c r="L2" s="76" t="s">
        <v>41</v>
      </c>
      <c r="M2" s="77" t="s">
        <v>32</v>
      </c>
      <c r="N2" s="77"/>
      <c r="O2" s="77"/>
      <c r="P2" s="77"/>
      <c r="Q2" s="77" t="s">
        <v>49</v>
      </c>
      <c r="R2" s="76" t="s">
        <v>19</v>
      </c>
      <c r="S2" s="6"/>
      <c r="T2" s="11"/>
      <c r="U2" s="33"/>
      <c r="V2" s="33"/>
      <c r="W2" s="33"/>
      <c r="X2" s="33"/>
      <c r="Y2" s="33"/>
      <c r="Z2" s="33"/>
    </row>
    <row r="3" spans="1:26" ht="14.25" customHeight="1" x14ac:dyDescent="0.25">
      <c r="A3" s="28">
        <v>2</v>
      </c>
      <c r="B3" s="13">
        <v>45147</v>
      </c>
      <c r="C3" s="16" t="s">
        <v>103</v>
      </c>
      <c r="D3" s="80" t="s">
        <v>104</v>
      </c>
      <c r="E3" s="80">
        <v>82</v>
      </c>
      <c r="F3" s="77" t="s">
        <v>30</v>
      </c>
      <c r="G3" s="91">
        <v>45140</v>
      </c>
      <c r="H3" s="78">
        <f t="shared" ref="H3:H18" si="0">DAYS360(G3,B3)</f>
        <v>7</v>
      </c>
      <c r="I3" s="80" t="s">
        <v>22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105</v>
      </c>
      <c r="R3" s="76" t="s">
        <v>19</v>
      </c>
      <c r="S3" s="6"/>
      <c r="T3" s="11"/>
    </row>
    <row r="4" spans="1:26" ht="14.25" customHeight="1" x14ac:dyDescent="0.25">
      <c r="A4" s="28">
        <v>3</v>
      </c>
      <c r="B4" s="13">
        <v>45147</v>
      </c>
      <c r="C4" s="80" t="s">
        <v>117</v>
      </c>
      <c r="D4" s="80" t="s">
        <v>118</v>
      </c>
      <c r="E4" s="80">
        <v>78</v>
      </c>
      <c r="F4" s="77" t="s">
        <v>30</v>
      </c>
      <c r="G4" s="91">
        <v>45141</v>
      </c>
      <c r="H4" s="78">
        <f t="shared" si="0"/>
        <v>6</v>
      </c>
      <c r="I4" s="80" t="s">
        <v>16</v>
      </c>
      <c r="J4" s="80">
        <v>1.5</v>
      </c>
      <c r="K4" s="80" t="s">
        <v>39</v>
      </c>
      <c r="L4" s="76" t="s">
        <v>41</v>
      </c>
      <c r="M4" s="80"/>
      <c r="N4" s="80"/>
      <c r="O4" s="80" t="s">
        <v>69</v>
      </c>
      <c r="P4" s="80"/>
      <c r="Q4" s="80" t="s">
        <v>119</v>
      </c>
      <c r="R4" s="76" t="s">
        <v>19</v>
      </c>
      <c r="S4" s="121"/>
      <c r="T4" s="11"/>
    </row>
    <row r="5" spans="1:26" ht="14.25" customHeight="1" x14ac:dyDescent="0.25">
      <c r="A5" s="28">
        <v>4</v>
      </c>
      <c r="B5" s="13">
        <v>45147</v>
      </c>
      <c r="C5" s="80" t="s">
        <v>117</v>
      </c>
      <c r="D5" s="80" t="s">
        <v>118</v>
      </c>
      <c r="E5" s="80">
        <v>78</v>
      </c>
      <c r="F5" s="77" t="s">
        <v>30</v>
      </c>
      <c r="G5" s="91">
        <v>45141</v>
      </c>
      <c r="H5" s="78">
        <f t="shared" si="0"/>
        <v>6</v>
      </c>
      <c r="I5" s="80" t="s">
        <v>16</v>
      </c>
      <c r="J5" s="80">
        <v>1.5</v>
      </c>
      <c r="K5" s="80" t="s">
        <v>39</v>
      </c>
      <c r="L5" s="76" t="s">
        <v>41</v>
      </c>
      <c r="M5" s="80" t="s">
        <v>44</v>
      </c>
      <c r="N5" s="80"/>
      <c r="O5" s="80"/>
      <c r="P5" s="80"/>
      <c r="Q5" s="80" t="s">
        <v>119</v>
      </c>
      <c r="R5" s="76" t="s">
        <v>19</v>
      </c>
      <c r="S5" s="11"/>
      <c r="T5" s="11"/>
    </row>
    <row r="6" spans="1:26" ht="14.25" customHeight="1" x14ac:dyDescent="0.25">
      <c r="A6" s="28">
        <v>5</v>
      </c>
      <c r="B6" s="13">
        <v>45147</v>
      </c>
      <c r="C6" s="80" t="s">
        <v>136</v>
      </c>
      <c r="D6" s="80" t="s">
        <v>138</v>
      </c>
      <c r="E6" s="80">
        <v>29</v>
      </c>
      <c r="F6" s="77" t="s">
        <v>30</v>
      </c>
      <c r="G6" s="91">
        <v>45145</v>
      </c>
      <c r="H6" s="78">
        <f t="shared" si="0"/>
        <v>2</v>
      </c>
      <c r="I6" s="80" t="s">
        <v>22</v>
      </c>
      <c r="J6" s="80">
        <v>0.75</v>
      </c>
      <c r="K6" s="80" t="s">
        <v>17</v>
      </c>
      <c r="L6" s="76" t="s">
        <v>41</v>
      </c>
      <c r="M6" s="80"/>
      <c r="N6" s="80"/>
      <c r="O6" s="80" t="s">
        <v>25</v>
      </c>
      <c r="P6" s="80"/>
      <c r="Q6" s="80" t="s">
        <v>94</v>
      </c>
      <c r="R6" s="76" t="s">
        <v>19</v>
      </c>
      <c r="S6" s="6"/>
      <c r="T6" s="11"/>
    </row>
    <row r="7" spans="1:26" ht="14.25" customHeight="1" x14ac:dyDescent="0.25">
      <c r="A7" s="28">
        <v>6</v>
      </c>
      <c r="B7" s="13">
        <v>45147</v>
      </c>
      <c r="C7" s="80" t="s">
        <v>137</v>
      </c>
      <c r="D7" s="80" t="s">
        <v>139</v>
      </c>
      <c r="E7" s="80">
        <v>49</v>
      </c>
      <c r="F7" s="77" t="s">
        <v>30</v>
      </c>
      <c r="G7" s="91">
        <v>45145</v>
      </c>
      <c r="H7" s="78">
        <f t="shared" si="0"/>
        <v>2</v>
      </c>
      <c r="I7" s="80" t="s">
        <v>127</v>
      </c>
      <c r="J7" s="80">
        <v>1</v>
      </c>
      <c r="K7" s="80" t="s">
        <v>39</v>
      </c>
      <c r="L7" s="76" t="s">
        <v>41</v>
      </c>
      <c r="M7" s="80"/>
      <c r="N7" s="80"/>
      <c r="O7" s="80" t="s">
        <v>69</v>
      </c>
      <c r="P7" s="80"/>
      <c r="Q7" s="80" t="s">
        <v>140</v>
      </c>
      <c r="R7" s="76" t="s">
        <v>19</v>
      </c>
      <c r="S7" s="121"/>
      <c r="T7" s="11"/>
    </row>
    <row r="8" spans="1:26" ht="14.25" customHeight="1" x14ac:dyDescent="0.25">
      <c r="A8" s="28">
        <v>7</v>
      </c>
      <c r="B8" s="13">
        <v>45147</v>
      </c>
      <c r="C8" s="80" t="s">
        <v>137</v>
      </c>
      <c r="D8" s="80" t="s">
        <v>139</v>
      </c>
      <c r="E8" s="80">
        <v>49</v>
      </c>
      <c r="F8" s="77" t="s">
        <v>30</v>
      </c>
      <c r="G8" s="91">
        <v>45145</v>
      </c>
      <c r="H8" s="78">
        <f t="shared" si="0"/>
        <v>2</v>
      </c>
      <c r="I8" s="80" t="s">
        <v>127</v>
      </c>
      <c r="J8" s="80">
        <v>1</v>
      </c>
      <c r="K8" s="80" t="s">
        <v>39</v>
      </c>
      <c r="L8" s="76" t="s">
        <v>41</v>
      </c>
      <c r="M8" s="80"/>
      <c r="N8" s="80"/>
      <c r="O8" s="80" t="s">
        <v>69</v>
      </c>
      <c r="P8" s="80"/>
      <c r="Q8" s="80" t="s">
        <v>140</v>
      </c>
      <c r="R8" s="76" t="s">
        <v>19</v>
      </c>
      <c r="S8" s="11"/>
      <c r="T8" s="11"/>
      <c r="U8" s="19"/>
    </row>
    <row r="9" spans="1:26" ht="14.25" customHeight="1" x14ac:dyDescent="0.25">
      <c r="A9" s="28">
        <v>8</v>
      </c>
      <c r="B9" s="13">
        <v>45147</v>
      </c>
      <c r="C9" s="80" t="s">
        <v>95</v>
      </c>
      <c r="D9" s="80" t="s">
        <v>96</v>
      </c>
      <c r="E9" s="80">
        <v>74</v>
      </c>
      <c r="F9" s="77" t="s">
        <v>30</v>
      </c>
      <c r="G9" s="91">
        <v>45138</v>
      </c>
      <c r="H9" s="78">
        <f t="shared" si="0"/>
        <v>9</v>
      </c>
      <c r="I9" s="80" t="s">
        <v>97</v>
      </c>
      <c r="J9" s="80">
        <v>1.5</v>
      </c>
      <c r="K9" s="80" t="s">
        <v>17</v>
      </c>
      <c r="L9" s="76" t="s">
        <v>41</v>
      </c>
      <c r="M9" s="80" t="s">
        <v>44</v>
      </c>
      <c r="N9" s="80"/>
      <c r="O9" s="80"/>
      <c r="P9" s="80"/>
      <c r="Q9" s="80" t="s">
        <v>100</v>
      </c>
      <c r="R9" s="76" t="s">
        <v>19</v>
      </c>
      <c r="S9" s="11"/>
      <c r="T9" s="11"/>
    </row>
    <row r="10" spans="1:26" ht="14.25" customHeight="1" x14ac:dyDescent="0.25">
      <c r="A10" s="28">
        <v>9</v>
      </c>
      <c r="B10" s="13">
        <v>45147</v>
      </c>
      <c r="C10" s="80" t="s">
        <v>121</v>
      </c>
      <c r="D10" s="80" t="s">
        <v>123</v>
      </c>
      <c r="E10" s="80">
        <v>82</v>
      </c>
      <c r="F10" s="77" t="s">
        <v>30</v>
      </c>
      <c r="G10" s="91">
        <v>45142</v>
      </c>
      <c r="H10" s="78">
        <f t="shared" si="0"/>
        <v>5</v>
      </c>
      <c r="I10" s="80" t="s">
        <v>127</v>
      </c>
      <c r="J10" s="80">
        <v>1</v>
      </c>
      <c r="K10" s="80" t="s">
        <v>39</v>
      </c>
      <c r="L10" s="76" t="s">
        <v>41</v>
      </c>
      <c r="M10" s="80" t="s">
        <v>32</v>
      </c>
      <c r="N10" s="80"/>
      <c r="O10" s="80"/>
      <c r="P10" s="80"/>
      <c r="Q10" s="80" t="s">
        <v>129</v>
      </c>
      <c r="R10" s="76" t="s">
        <v>19</v>
      </c>
      <c r="S10" s="11"/>
      <c r="T10" s="11"/>
    </row>
    <row r="11" spans="1:26" ht="14.25" customHeight="1" x14ac:dyDescent="0.25">
      <c r="A11" s="28">
        <v>10</v>
      </c>
      <c r="B11" s="13">
        <v>45147</v>
      </c>
      <c r="C11" s="80" t="s">
        <v>121</v>
      </c>
      <c r="D11" s="80" t="s">
        <v>123</v>
      </c>
      <c r="E11" s="80">
        <v>82</v>
      </c>
      <c r="F11" s="77" t="s">
        <v>30</v>
      </c>
      <c r="G11" s="91">
        <v>45142</v>
      </c>
      <c r="H11" s="78">
        <f t="shared" si="0"/>
        <v>5</v>
      </c>
      <c r="I11" s="80" t="s">
        <v>127</v>
      </c>
      <c r="J11" s="80">
        <v>1</v>
      </c>
      <c r="K11" s="80" t="s">
        <v>39</v>
      </c>
      <c r="L11" s="76" t="s">
        <v>41</v>
      </c>
      <c r="M11" s="80" t="s">
        <v>32</v>
      </c>
      <c r="N11" s="80"/>
      <c r="O11" s="80"/>
      <c r="P11" s="80"/>
      <c r="Q11" s="80" t="s">
        <v>129</v>
      </c>
      <c r="R11" s="76" t="s">
        <v>19</v>
      </c>
      <c r="S11" s="11"/>
      <c r="T11" s="11"/>
    </row>
    <row r="12" spans="1:26" ht="17.25" customHeight="1" x14ac:dyDescent="0.25">
      <c r="A12" s="28">
        <v>11</v>
      </c>
      <c r="B12" s="13">
        <v>45147</v>
      </c>
      <c r="C12" s="83" t="s">
        <v>37</v>
      </c>
      <c r="D12" s="83" t="s">
        <v>38</v>
      </c>
      <c r="E12" s="83">
        <v>32</v>
      </c>
      <c r="F12" s="77" t="s">
        <v>30</v>
      </c>
      <c r="G12" s="97">
        <v>45125</v>
      </c>
      <c r="H12" s="78">
        <f t="shared" si="0"/>
        <v>21</v>
      </c>
      <c r="I12" s="83" t="s">
        <v>24</v>
      </c>
      <c r="J12" s="83">
        <v>0.75</v>
      </c>
      <c r="K12" s="83" t="s">
        <v>39</v>
      </c>
      <c r="L12" s="76" t="s">
        <v>41</v>
      </c>
      <c r="M12" s="83"/>
      <c r="N12" s="83"/>
      <c r="O12" s="83" t="s">
        <v>25</v>
      </c>
      <c r="P12" s="83"/>
      <c r="Q12" s="83" t="s">
        <v>74</v>
      </c>
      <c r="R12" s="76" t="s">
        <v>19</v>
      </c>
      <c r="S12" s="11"/>
      <c r="T12" s="11"/>
    </row>
    <row r="13" spans="1:26" ht="14.25" customHeight="1" x14ac:dyDescent="0.25">
      <c r="A13" s="28">
        <v>12</v>
      </c>
      <c r="B13" s="13">
        <v>45147</v>
      </c>
      <c r="C13" s="16" t="s">
        <v>102</v>
      </c>
      <c r="D13" s="80" t="s">
        <v>106</v>
      </c>
      <c r="E13" s="80">
        <v>68</v>
      </c>
      <c r="F13" s="77" t="s">
        <v>30</v>
      </c>
      <c r="G13" s="91">
        <v>45140</v>
      </c>
      <c r="H13" s="78">
        <f t="shared" si="0"/>
        <v>7</v>
      </c>
      <c r="I13" s="80" t="s">
        <v>22</v>
      </c>
      <c r="J13" s="80">
        <v>1</v>
      </c>
      <c r="K13" s="80" t="s">
        <v>17</v>
      </c>
      <c r="L13" s="76" t="s">
        <v>41</v>
      </c>
      <c r="M13" s="80" t="s">
        <v>27</v>
      </c>
      <c r="N13" s="80"/>
      <c r="O13" s="80"/>
      <c r="P13" s="80"/>
      <c r="Q13" s="80" t="s">
        <v>107</v>
      </c>
      <c r="R13" s="76" t="s">
        <v>19</v>
      </c>
      <c r="S13" s="11"/>
      <c r="T13" s="11"/>
    </row>
    <row r="14" spans="1:26" ht="14.25" customHeight="1" x14ac:dyDescent="0.25">
      <c r="A14" s="28">
        <v>13</v>
      </c>
      <c r="B14" s="13">
        <v>45147</v>
      </c>
      <c r="C14" s="80" t="s">
        <v>109</v>
      </c>
      <c r="D14" s="80" t="s">
        <v>110</v>
      </c>
      <c r="E14" s="80">
        <v>56</v>
      </c>
      <c r="F14" s="77" t="s">
        <v>30</v>
      </c>
      <c r="G14" s="91">
        <v>45140</v>
      </c>
      <c r="H14" s="78">
        <f t="shared" si="0"/>
        <v>7</v>
      </c>
      <c r="I14" s="80" t="s">
        <v>111</v>
      </c>
      <c r="J14" s="80">
        <v>1.5</v>
      </c>
      <c r="K14" s="80" t="s">
        <v>17</v>
      </c>
      <c r="L14" s="76" t="s">
        <v>41</v>
      </c>
      <c r="M14" s="80" t="s">
        <v>44</v>
      </c>
      <c r="N14" s="80"/>
      <c r="O14" s="80"/>
      <c r="P14" s="80"/>
      <c r="Q14" s="80" t="s">
        <v>112</v>
      </c>
      <c r="R14" s="76" t="s">
        <v>19</v>
      </c>
      <c r="S14" s="6"/>
      <c r="T14" s="11"/>
    </row>
    <row r="15" spans="1:26" ht="14.25" customHeight="1" x14ac:dyDescent="0.25">
      <c r="A15" s="28">
        <v>14</v>
      </c>
      <c r="B15" s="13">
        <v>45147</v>
      </c>
      <c r="C15" s="80" t="s">
        <v>125</v>
      </c>
      <c r="D15" s="80" t="s">
        <v>126</v>
      </c>
      <c r="E15" s="80">
        <v>75</v>
      </c>
      <c r="F15" s="77" t="s">
        <v>30</v>
      </c>
      <c r="G15" s="91">
        <v>45142</v>
      </c>
      <c r="H15" s="78">
        <f t="shared" si="0"/>
        <v>5</v>
      </c>
      <c r="I15" s="80" t="s">
        <v>24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131</v>
      </c>
      <c r="R15" s="76" t="s">
        <v>19</v>
      </c>
      <c r="S15" s="6"/>
      <c r="T15" s="11"/>
    </row>
    <row r="16" spans="1:26" ht="14.25" customHeight="1" x14ac:dyDescent="0.25">
      <c r="A16" s="28">
        <v>15</v>
      </c>
      <c r="B16" s="13">
        <v>45147</v>
      </c>
      <c r="C16" s="80" t="s">
        <v>134</v>
      </c>
      <c r="D16" s="80" t="s">
        <v>135</v>
      </c>
      <c r="E16" s="80">
        <v>42</v>
      </c>
      <c r="F16" s="77" t="s">
        <v>30</v>
      </c>
      <c r="G16" s="91">
        <v>45143</v>
      </c>
      <c r="H16" s="78">
        <f t="shared" si="0"/>
        <v>4</v>
      </c>
      <c r="I16" s="80" t="s">
        <v>22</v>
      </c>
      <c r="J16" s="80">
        <v>0.75</v>
      </c>
      <c r="K16" s="80" t="s">
        <v>17</v>
      </c>
      <c r="L16" s="76" t="s">
        <v>41</v>
      </c>
      <c r="M16" s="80"/>
      <c r="N16" s="80"/>
      <c r="O16" s="80" t="s">
        <v>25</v>
      </c>
      <c r="P16" s="80"/>
      <c r="Q16" s="80" t="s">
        <v>58</v>
      </c>
      <c r="R16" s="76" t="s">
        <v>19</v>
      </c>
      <c r="S16" s="6"/>
      <c r="T16" s="11"/>
    </row>
    <row r="17" spans="1:20" ht="14.25" customHeight="1" x14ac:dyDescent="0.25">
      <c r="A17" s="28">
        <v>16</v>
      </c>
      <c r="B17" s="13">
        <v>45147</v>
      </c>
      <c r="C17" s="80" t="s">
        <v>141</v>
      </c>
      <c r="D17" s="80" t="s">
        <v>142</v>
      </c>
      <c r="E17" s="80">
        <v>74</v>
      </c>
      <c r="F17" s="77" t="s">
        <v>30</v>
      </c>
      <c r="G17" s="91">
        <v>45145</v>
      </c>
      <c r="H17" s="78">
        <f t="shared" si="0"/>
        <v>2</v>
      </c>
      <c r="I17" s="80" t="s">
        <v>26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74</v>
      </c>
      <c r="R17" s="76" t="s">
        <v>19</v>
      </c>
      <c r="S17" s="11"/>
      <c r="T17" s="11"/>
    </row>
    <row r="18" spans="1:20" ht="14.25" customHeight="1" x14ac:dyDescent="0.25">
      <c r="A18" s="28">
        <v>17</v>
      </c>
      <c r="B18" s="13">
        <v>45147</v>
      </c>
      <c r="C18" s="80" t="s">
        <v>143</v>
      </c>
      <c r="D18" s="80" t="s">
        <v>144</v>
      </c>
      <c r="E18" s="80">
        <v>32</v>
      </c>
      <c r="F18" s="77" t="s">
        <v>30</v>
      </c>
      <c r="G18" s="91">
        <v>45145</v>
      </c>
      <c r="H18" s="78">
        <f t="shared" si="0"/>
        <v>2</v>
      </c>
      <c r="I18" s="80" t="s">
        <v>22</v>
      </c>
      <c r="J18" s="80">
        <v>0.75</v>
      </c>
      <c r="K18" s="80" t="s">
        <v>17</v>
      </c>
      <c r="L18" s="76" t="s">
        <v>41</v>
      </c>
      <c r="M18" s="80"/>
      <c r="N18" s="80"/>
      <c r="O18" s="80"/>
      <c r="P18" s="80" t="s">
        <v>25</v>
      </c>
      <c r="Q18" s="80" t="s">
        <v>145</v>
      </c>
      <c r="R18" s="76" t="s">
        <v>19</v>
      </c>
      <c r="S18" s="11"/>
      <c r="T18" s="11"/>
    </row>
    <row r="19" spans="1:20" ht="14.25" customHeight="1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4.25" customHeight="1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4.25" customHeight="1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4.2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4.25" customHeight="1" x14ac:dyDescent="0.25">
      <c r="A23" s="2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4.25" customHeight="1" x14ac:dyDescent="0.25">
      <c r="A24" s="2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4.25" customHeight="1" x14ac:dyDescent="0.25"/>
    <row r="26" spans="1:20" ht="14.25" customHeight="1" x14ac:dyDescent="0.25"/>
    <row r="27" spans="1:20" ht="14.25" customHeight="1" x14ac:dyDescent="0.25"/>
    <row r="28" spans="1:20" ht="14.25" customHeight="1" x14ac:dyDescent="0.25"/>
    <row r="29" spans="1:20" ht="14.25" customHeight="1" x14ac:dyDescent="0.25"/>
    <row r="30" spans="1:20" ht="14.25" customHeight="1" x14ac:dyDescent="0.25"/>
    <row r="31" spans="1:20" ht="14.25" customHeight="1" x14ac:dyDescent="0.25"/>
    <row r="32" spans="1:2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70" zoomScaleNormal="70" workbookViewId="0">
      <selection activeCell="A28" sqref="A28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7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" customWidth="1"/>
    <col min="14" max="14" width="10.7109375" customWidth="1"/>
    <col min="15" max="15" width="12.85546875" customWidth="1"/>
    <col min="16" max="16" width="9.5703125" customWidth="1"/>
    <col min="17" max="17" width="44.710937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6" ht="28.5" customHeight="1" x14ac:dyDescent="0.25">
      <c r="A1" s="67"/>
      <c r="B1" s="68" t="s">
        <v>65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66</v>
      </c>
      <c r="S1" s="1" t="s">
        <v>15</v>
      </c>
      <c r="T1" s="1" t="s">
        <v>67</v>
      </c>
      <c r="U1" s="33"/>
      <c r="V1" s="33"/>
      <c r="W1" s="33"/>
      <c r="X1" s="33"/>
      <c r="Y1" s="33"/>
      <c r="Z1" s="33"/>
    </row>
    <row r="2" spans="1:26" ht="14.25" customHeight="1" x14ac:dyDescent="0.25">
      <c r="A2" s="124">
        <v>1</v>
      </c>
      <c r="B2" s="125">
        <v>45148</v>
      </c>
      <c r="C2" s="80" t="s">
        <v>122</v>
      </c>
      <c r="D2" s="80" t="s">
        <v>124</v>
      </c>
      <c r="E2" s="80">
        <v>71</v>
      </c>
      <c r="F2" s="86" t="s">
        <v>40</v>
      </c>
      <c r="G2" s="91">
        <v>45142</v>
      </c>
      <c r="H2" s="80">
        <f>DAYS360(G2,B2)</f>
        <v>6</v>
      </c>
      <c r="I2" s="80" t="s">
        <v>24</v>
      </c>
      <c r="J2" s="80">
        <v>1</v>
      </c>
      <c r="K2" s="80" t="s">
        <v>17</v>
      </c>
      <c r="L2" s="76" t="s">
        <v>41</v>
      </c>
      <c r="M2" s="80"/>
      <c r="N2" s="80"/>
      <c r="O2" s="80"/>
      <c r="P2" s="80"/>
      <c r="Q2" s="80" t="s">
        <v>130</v>
      </c>
      <c r="R2" s="76" t="s">
        <v>19</v>
      </c>
      <c r="S2" s="126"/>
      <c r="T2" s="123"/>
    </row>
    <row r="3" spans="1:26" ht="14.25" customHeight="1" x14ac:dyDescent="0.25">
      <c r="A3" s="124">
        <v>2</v>
      </c>
      <c r="B3" s="125">
        <v>45148</v>
      </c>
      <c r="C3" s="80" t="s">
        <v>122</v>
      </c>
      <c r="D3" s="80" t="s">
        <v>124</v>
      </c>
      <c r="E3" s="80">
        <v>71</v>
      </c>
      <c r="F3" s="86" t="s">
        <v>30</v>
      </c>
      <c r="G3" s="91">
        <v>45142</v>
      </c>
      <c r="H3" s="80">
        <f t="shared" ref="H3:H27" si="0">DAYS360(G3,B3)</f>
        <v>6</v>
      </c>
      <c r="I3" s="80" t="s">
        <v>24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130</v>
      </c>
      <c r="R3" s="76" t="s">
        <v>19</v>
      </c>
      <c r="S3" s="126"/>
      <c r="T3" s="123"/>
    </row>
    <row r="4" spans="1:26" ht="14.25" customHeight="1" x14ac:dyDescent="0.25">
      <c r="A4" s="124">
        <v>3</v>
      </c>
      <c r="B4" s="125">
        <v>45148</v>
      </c>
      <c r="C4" s="16" t="s">
        <v>103</v>
      </c>
      <c r="D4" s="80" t="s">
        <v>104</v>
      </c>
      <c r="E4" s="80">
        <v>82</v>
      </c>
      <c r="F4" s="86" t="s">
        <v>30</v>
      </c>
      <c r="G4" s="91">
        <v>45140</v>
      </c>
      <c r="H4" s="80">
        <f t="shared" si="0"/>
        <v>8</v>
      </c>
      <c r="I4" s="80" t="s">
        <v>22</v>
      </c>
      <c r="J4" s="80">
        <v>0.3</v>
      </c>
      <c r="K4" s="80" t="s">
        <v>17</v>
      </c>
      <c r="L4" s="76" t="s">
        <v>41</v>
      </c>
      <c r="M4" s="80" t="s">
        <v>9</v>
      </c>
      <c r="N4" s="80"/>
      <c r="O4" s="80"/>
      <c r="P4" s="80"/>
      <c r="Q4" s="80" t="s">
        <v>105</v>
      </c>
      <c r="R4" s="76" t="s">
        <v>19</v>
      </c>
      <c r="S4" s="126"/>
      <c r="T4" s="123"/>
    </row>
    <row r="5" spans="1:26" ht="14.25" customHeight="1" x14ac:dyDescent="0.25">
      <c r="A5" s="124">
        <v>4</v>
      </c>
      <c r="B5" s="125">
        <v>45148</v>
      </c>
      <c r="C5" s="16" t="s">
        <v>103</v>
      </c>
      <c r="D5" s="80" t="s">
        <v>104</v>
      </c>
      <c r="E5" s="80">
        <v>82</v>
      </c>
      <c r="F5" s="86" t="s">
        <v>30</v>
      </c>
      <c r="G5" s="91">
        <v>45140</v>
      </c>
      <c r="H5" s="80">
        <f t="shared" si="0"/>
        <v>8</v>
      </c>
      <c r="I5" s="80" t="s">
        <v>22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80" t="s">
        <v>105</v>
      </c>
      <c r="R5" s="76" t="s">
        <v>19</v>
      </c>
      <c r="S5" s="126"/>
      <c r="T5" s="123"/>
    </row>
    <row r="6" spans="1:26" ht="14.25" customHeight="1" x14ac:dyDescent="0.25">
      <c r="A6" s="124">
        <v>5</v>
      </c>
      <c r="B6" s="125">
        <v>45148</v>
      </c>
      <c r="C6" s="80" t="s">
        <v>137</v>
      </c>
      <c r="D6" s="80" t="s">
        <v>139</v>
      </c>
      <c r="E6" s="80">
        <v>49</v>
      </c>
      <c r="F6" s="86" t="s">
        <v>30</v>
      </c>
      <c r="G6" s="91">
        <v>45145</v>
      </c>
      <c r="H6" s="80">
        <f t="shared" si="0"/>
        <v>3</v>
      </c>
      <c r="I6" s="80" t="s">
        <v>127</v>
      </c>
      <c r="J6" s="80">
        <v>1</v>
      </c>
      <c r="K6" s="80" t="s">
        <v>39</v>
      </c>
      <c r="L6" s="76" t="s">
        <v>41</v>
      </c>
      <c r="M6" s="80" t="s">
        <v>44</v>
      </c>
      <c r="N6" s="80"/>
      <c r="O6" s="80"/>
      <c r="P6" s="80"/>
      <c r="Q6" s="80" t="s">
        <v>140</v>
      </c>
      <c r="R6" s="76" t="s">
        <v>19</v>
      </c>
      <c r="S6" s="126"/>
      <c r="T6" s="123"/>
    </row>
    <row r="7" spans="1:26" ht="14.25" customHeight="1" x14ac:dyDescent="0.25">
      <c r="A7" s="124">
        <v>6</v>
      </c>
      <c r="B7" s="125">
        <v>45148</v>
      </c>
      <c r="C7" s="80" t="s">
        <v>137</v>
      </c>
      <c r="D7" s="80" t="s">
        <v>139</v>
      </c>
      <c r="E7" s="80">
        <v>49</v>
      </c>
      <c r="F7" s="86" t="s">
        <v>30</v>
      </c>
      <c r="G7" s="91">
        <v>45145</v>
      </c>
      <c r="H7" s="80">
        <f t="shared" si="0"/>
        <v>3</v>
      </c>
      <c r="I7" s="80" t="s">
        <v>127</v>
      </c>
      <c r="J7" s="80">
        <v>1</v>
      </c>
      <c r="K7" s="80" t="s">
        <v>39</v>
      </c>
      <c r="L7" s="76" t="s">
        <v>41</v>
      </c>
      <c r="M7" s="80"/>
      <c r="N7" s="80"/>
      <c r="O7" s="80" t="s">
        <v>69</v>
      </c>
      <c r="P7" s="80"/>
      <c r="Q7" s="80" t="s">
        <v>140</v>
      </c>
      <c r="R7" s="76" t="s">
        <v>19</v>
      </c>
      <c r="S7" s="126"/>
      <c r="T7" s="123"/>
    </row>
    <row r="8" spans="1:26" ht="14.25" customHeight="1" x14ac:dyDescent="0.25">
      <c r="A8" s="124">
        <v>7</v>
      </c>
      <c r="B8" s="125">
        <v>45148</v>
      </c>
      <c r="C8" s="80" t="s">
        <v>137</v>
      </c>
      <c r="D8" s="80" t="s">
        <v>139</v>
      </c>
      <c r="E8" s="80">
        <v>49</v>
      </c>
      <c r="F8" s="86" t="s">
        <v>30</v>
      </c>
      <c r="G8" s="91">
        <v>45145</v>
      </c>
      <c r="H8" s="80">
        <f t="shared" si="0"/>
        <v>3</v>
      </c>
      <c r="I8" s="80" t="s">
        <v>127</v>
      </c>
      <c r="J8" s="80">
        <v>1</v>
      </c>
      <c r="K8" s="80" t="s">
        <v>39</v>
      </c>
      <c r="L8" s="76" t="s">
        <v>41</v>
      </c>
      <c r="M8" s="80"/>
      <c r="N8" s="80"/>
      <c r="O8" s="80" t="s">
        <v>69</v>
      </c>
      <c r="P8" s="80"/>
      <c r="Q8" s="80" t="s">
        <v>140</v>
      </c>
      <c r="R8" s="76" t="s">
        <v>19</v>
      </c>
      <c r="S8" s="126"/>
      <c r="T8" s="123"/>
    </row>
    <row r="9" spans="1:26" ht="14.25" customHeight="1" x14ac:dyDescent="0.25">
      <c r="A9" s="124">
        <v>8</v>
      </c>
      <c r="B9" s="125">
        <v>45148</v>
      </c>
      <c r="C9" s="80" t="s">
        <v>109</v>
      </c>
      <c r="D9" s="80" t="s">
        <v>110</v>
      </c>
      <c r="E9" s="80">
        <v>56</v>
      </c>
      <c r="F9" s="86" t="s">
        <v>30</v>
      </c>
      <c r="G9" s="91">
        <v>45140</v>
      </c>
      <c r="H9" s="80">
        <f t="shared" si="0"/>
        <v>8</v>
      </c>
      <c r="I9" s="80" t="s">
        <v>111</v>
      </c>
      <c r="J9" s="80">
        <v>1.5</v>
      </c>
      <c r="K9" s="80" t="s">
        <v>17</v>
      </c>
      <c r="L9" s="76" t="s">
        <v>41</v>
      </c>
      <c r="M9" s="80" t="s">
        <v>44</v>
      </c>
      <c r="N9" s="80"/>
      <c r="O9" s="80"/>
      <c r="P9" s="80"/>
      <c r="Q9" s="80" t="s">
        <v>112</v>
      </c>
      <c r="R9" s="76" t="s">
        <v>19</v>
      </c>
      <c r="S9" s="126"/>
      <c r="T9" s="123"/>
    </row>
    <row r="10" spans="1:26" ht="14.25" customHeight="1" x14ac:dyDescent="0.25">
      <c r="A10" s="124">
        <v>9</v>
      </c>
      <c r="B10" s="125">
        <v>45148</v>
      </c>
      <c r="C10" s="80" t="s">
        <v>121</v>
      </c>
      <c r="D10" s="80" t="s">
        <v>123</v>
      </c>
      <c r="E10" s="80">
        <v>82</v>
      </c>
      <c r="F10" s="86" t="s">
        <v>30</v>
      </c>
      <c r="G10" s="91">
        <v>45142</v>
      </c>
      <c r="H10" s="80">
        <f t="shared" si="0"/>
        <v>6</v>
      </c>
      <c r="I10" s="80" t="s">
        <v>127</v>
      </c>
      <c r="J10" s="80">
        <v>1</v>
      </c>
      <c r="K10" s="80" t="s">
        <v>39</v>
      </c>
      <c r="L10" s="76" t="s">
        <v>41</v>
      </c>
      <c r="M10" s="80" t="s">
        <v>32</v>
      </c>
      <c r="N10" s="80"/>
      <c r="O10" s="80"/>
      <c r="P10" s="80"/>
      <c r="Q10" s="80" t="s">
        <v>129</v>
      </c>
      <c r="R10" s="76" t="s">
        <v>19</v>
      </c>
      <c r="S10" s="126"/>
      <c r="T10" s="123"/>
    </row>
    <row r="11" spans="1:26" ht="14.25" customHeight="1" x14ac:dyDescent="0.25">
      <c r="A11" s="124">
        <v>10</v>
      </c>
      <c r="B11" s="125">
        <v>45148</v>
      </c>
      <c r="C11" s="16" t="s">
        <v>102</v>
      </c>
      <c r="D11" s="80" t="s">
        <v>106</v>
      </c>
      <c r="E11" s="80">
        <v>68</v>
      </c>
      <c r="F11" s="86" t="s">
        <v>30</v>
      </c>
      <c r="G11" s="91">
        <v>45140</v>
      </c>
      <c r="H11" s="80">
        <f t="shared" si="0"/>
        <v>8</v>
      </c>
      <c r="I11" s="80" t="s">
        <v>22</v>
      </c>
      <c r="J11" s="80">
        <v>1</v>
      </c>
      <c r="K11" s="80" t="s">
        <v>17</v>
      </c>
      <c r="L11" s="76" t="s">
        <v>41</v>
      </c>
      <c r="M11" s="80" t="s">
        <v>27</v>
      </c>
      <c r="N11" s="80"/>
      <c r="O11" s="80"/>
      <c r="P11" s="80"/>
      <c r="Q11" s="80" t="s">
        <v>107</v>
      </c>
      <c r="R11" s="76" t="s">
        <v>19</v>
      </c>
      <c r="S11" s="126"/>
      <c r="T11" s="123"/>
    </row>
    <row r="12" spans="1:26" ht="14.25" customHeight="1" x14ac:dyDescent="0.25">
      <c r="A12" s="124">
        <v>11</v>
      </c>
      <c r="B12" s="125">
        <v>45148</v>
      </c>
      <c r="C12" s="77" t="s">
        <v>47</v>
      </c>
      <c r="D12" s="77" t="s">
        <v>48</v>
      </c>
      <c r="E12" s="77">
        <v>73</v>
      </c>
      <c r="F12" s="86" t="s">
        <v>30</v>
      </c>
      <c r="G12" s="95">
        <v>45117</v>
      </c>
      <c r="H12" s="80">
        <f t="shared" si="0"/>
        <v>30</v>
      </c>
      <c r="I12" s="77" t="s">
        <v>16</v>
      </c>
      <c r="J12" s="77">
        <v>1.5</v>
      </c>
      <c r="K12" s="77" t="s">
        <v>17</v>
      </c>
      <c r="L12" s="76" t="s">
        <v>41</v>
      </c>
      <c r="M12" s="77" t="s">
        <v>32</v>
      </c>
      <c r="N12" s="77"/>
      <c r="O12" s="77"/>
      <c r="P12" s="77"/>
      <c r="Q12" s="77" t="s">
        <v>49</v>
      </c>
      <c r="R12" s="76" t="s">
        <v>19</v>
      </c>
      <c r="S12" s="126"/>
      <c r="T12" s="123"/>
    </row>
    <row r="13" spans="1:26" ht="14.25" customHeight="1" x14ac:dyDescent="0.25">
      <c r="A13" s="124">
        <v>12</v>
      </c>
      <c r="B13" s="125">
        <v>45148</v>
      </c>
      <c r="C13" s="80" t="s">
        <v>83</v>
      </c>
      <c r="D13" s="80" t="s">
        <v>84</v>
      </c>
      <c r="E13" s="80">
        <v>81</v>
      </c>
      <c r="F13" s="86" t="s">
        <v>30</v>
      </c>
      <c r="G13" s="91">
        <v>45129</v>
      </c>
      <c r="H13" s="80">
        <f t="shared" si="0"/>
        <v>18</v>
      </c>
      <c r="I13" s="80" t="s">
        <v>26</v>
      </c>
      <c r="J13" s="80">
        <v>1</v>
      </c>
      <c r="K13" s="80" t="s">
        <v>17</v>
      </c>
      <c r="L13" s="76" t="s">
        <v>41</v>
      </c>
      <c r="M13" s="80"/>
      <c r="N13" s="80" t="s">
        <v>52</v>
      </c>
      <c r="O13" s="80"/>
      <c r="P13" s="80"/>
      <c r="Q13" s="80" t="s">
        <v>85</v>
      </c>
      <c r="R13" s="76" t="s">
        <v>19</v>
      </c>
      <c r="S13" s="126"/>
      <c r="T13" s="123"/>
    </row>
    <row r="14" spans="1:26" ht="14.25" customHeight="1" x14ac:dyDescent="0.25">
      <c r="A14" s="124">
        <v>13</v>
      </c>
      <c r="B14" s="125">
        <v>45148</v>
      </c>
      <c r="C14" s="80" t="s">
        <v>125</v>
      </c>
      <c r="D14" s="80" t="s">
        <v>126</v>
      </c>
      <c r="E14" s="80">
        <v>75</v>
      </c>
      <c r="F14" s="86" t="s">
        <v>30</v>
      </c>
      <c r="G14" s="91">
        <v>45142</v>
      </c>
      <c r="H14" s="80">
        <f t="shared" si="0"/>
        <v>6</v>
      </c>
      <c r="I14" s="80" t="s">
        <v>24</v>
      </c>
      <c r="J14" s="80">
        <v>1</v>
      </c>
      <c r="K14" s="80" t="s">
        <v>17</v>
      </c>
      <c r="L14" s="76" t="s">
        <v>41</v>
      </c>
      <c r="M14" s="80" t="s">
        <v>27</v>
      </c>
      <c r="N14" s="80"/>
      <c r="O14" s="80"/>
      <c r="P14" s="80"/>
      <c r="Q14" s="80" t="s">
        <v>131</v>
      </c>
      <c r="R14" s="76" t="s">
        <v>19</v>
      </c>
      <c r="S14" s="123"/>
      <c r="T14" s="123"/>
    </row>
    <row r="15" spans="1:26" ht="14.25" customHeight="1" x14ac:dyDescent="0.25">
      <c r="A15" s="124">
        <v>14</v>
      </c>
      <c r="B15" s="125">
        <v>45148</v>
      </c>
      <c r="C15" s="80" t="s">
        <v>98</v>
      </c>
      <c r="D15" s="80" t="s">
        <v>99</v>
      </c>
      <c r="E15" s="80">
        <v>85</v>
      </c>
      <c r="F15" s="86" t="s">
        <v>30</v>
      </c>
      <c r="G15" s="91">
        <v>45138</v>
      </c>
      <c r="H15" s="80">
        <f t="shared" si="0"/>
        <v>10</v>
      </c>
      <c r="I15" s="80" t="s">
        <v>16</v>
      </c>
      <c r="J15" s="80">
        <v>1</v>
      </c>
      <c r="K15" s="80" t="s">
        <v>17</v>
      </c>
      <c r="L15" s="76" t="s">
        <v>41</v>
      </c>
      <c r="M15" s="80" t="s">
        <v>44</v>
      </c>
      <c r="N15" s="80"/>
      <c r="O15" s="80"/>
      <c r="P15" s="80"/>
      <c r="Q15" s="80" t="s">
        <v>101</v>
      </c>
      <c r="R15" s="76" t="s">
        <v>19</v>
      </c>
      <c r="S15" s="123"/>
      <c r="T15" s="123"/>
    </row>
    <row r="16" spans="1:26" ht="14.25" customHeight="1" x14ac:dyDescent="0.25">
      <c r="A16" s="124">
        <v>15</v>
      </c>
      <c r="B16" s="125">
        <v>45148</v>
      </c>
      <c r="C16" s="80" t="s">
        <v>146</v>
      </c>
      <c r="D16" s="80" t="s">
        <v>147</v>
      </c>
      <c r="E16" s="80">
        <v>88</v>
      </c>
      <c r="F16" s="86" t="s">
        <v>30</v>
      </c>
      <c r="G16" s="91">
        <v>45147</v>
      </c>
      <c r="H16" s="80">
        <f t="shared" si="0"/>
        <v>1</v>
      </c>
      <c r="I16" s="80" t="s">
        <v>26</v>
      </c>
      <c r="J16" s="80">
        <v>1</v>
      </c>
      <c r="K16" s="80" t="s">
        <v>17</v>
      </c>
      <c r="L16" s="76" t="s">
        <v>41</v>
      </c>
      <c r="M16" s="80"/>
      <c r="N16" s="80" t="s">
        <v>52</v>
      </c>
      <c r="O16" s="80"/>
      <c r="P16" s="80"/>
      <c r="Q16" s="80" t="s">
        <v>148</v>
      </c>
      <c r="R16" s="80" t="s">
        <v>19</v>
      </c>
      <c r="S16" s="123"/>
      <c r="T16" s="123"/>
    </row>
    <row r="17" spans="1:20" ht="14.25" customHeight="1" x14ac:dyDescent="0.25">
      <c r="A17" s="124">
        <v>16</v>
      </c>
      <c r="B17" s="125">
        <v>45148</v>
      </c>
      <c r="C17" s="80" t="s">
        <v>136</v>
      </c>
      <c r="D17" s="80" t="s">
        <v>138</v>
      </c>
      <c r="E17" s="80">
        <v>29</v>
      </c>
      <c r="F17" s="86" t="s">
        <v>30</v>
      </c>
      <c r="G17" s="91">
        <v>45145</v>
      </c>
      <c r="H17" s="80">
        <f t="shared" si="0"/>
        <v>3</v>
      </c>
      <c r="I17" s="80" t="s">
        <v>22</v>
      </c>
      <c r="J17" s="80">
        <v>0.75</v>
      </c>
      <c r="K17" s="80" t="s">
        <v>17</v>
      </c>
      <c r="L17" s="76" t="s">
        <v>41</v>
      </c>
      <c r="M17" s="80"/>
      <c r="N17" s="80"/>
      <c r="O17" s="80" t="s">
        <v>25</v>
      </c>
      <c r="P17" s="80"/>
      <c r="Q17" s="80" t="s">
        <v>94</v>
      </c>
      <c r="R17" s="76" t="s">
        <v>19</v>
      </c>
      <c r="S17" s="123"/>
      <c r="T17" s="123"/>
    </row>
    <row r="18" spans="1:20" ht="14.25" customHeight="1" x14ac:dyDescent="0.25">
      <c r="A18" s="124">
        <v>17</v>
      </c>
      <c r="B18" s="125">
        <v>45148</v>
      </c>
      <c r="C18" s="80" t="s">
        <v>125</v>
      </c>
      <c r="D18" s="80" t="s">
        <v>126</v>
      </c>
      <c r="E18" s="80">
        <v>75</v>
      </c>
      <c r="F18" s="86" t="s">
        <v>30</v>
      </c>
      <c r="G18" s="91">
        <v>45142</v>
      </c>
      <c r="H18" s="80">
        <f t="shared" si="0"/>
        <v>6</v>
      </c>
      <c r="I18" s="80" t="s">
        <v>24</v>
      </c>
      <c r="J18" s="80">
        <v>1</v>
      </c>
      <c r="K18" s="80" t="s">
        <v>17</v>
      </c>
      <c r="L18" s="76" t="s">
        <v>41</v>
      </c>
      <c r="M18" s="80"/>
      <c r="N18" s="80" t="s">
        <v>46</v>
      </c>
      <c r="O18" s="80"/>
      <c r="P18" s="80"/>
      <c r="Q18" s="80" t="s">
        <v>131</v>
      </c>
      <c r="R18" s="76" t="s">
        <v>19</v>
      </c>
      <c r="S18" s="123"/>
      <c r="T18" s="123"/>
    </row>
    <row r="19" spans="1:20" ht="14.25" customHeight="1" x14ac:dyDescent="0.25">
      <c r="A19" s="124">
        <v>18</v>
      </c>
      <c r="B19" s="125">
        <v>45148</v>
      </c>
      <c r="C19" s="80" t="s">
        <v>79</v>
      </c>
      <c r="D19" s="80" t="s">
        <v>80</v>
      </c>
      <c r="E19" s="80">
        <v>66</v>
      </c>
      <c r="F19" s="86" t="s">
        <v>30</v>
      </c>
      <c r="G19" s="91">
        <v>45128</v>
      </c>
      <c r="H19" s="80">
        <f t="shared" si="0"/>
        <v>19</v>
      </c>
      <c r="I19" s="80" t="s">
        <v>16</v>
      </c>
      <c r="J19" s="80">
        <v>1</v>
      </c>
      <c r="K19" s="80" t="s">
        <v>17</v>
      </c>
      <c r="L19" s="76" t="s">
        <v>41</v>
      </c>
      <c r="M19" s="80" t="s">
        <v>27</v>
      </c>
      <c r="N19" s="80"/>
      <c r="O19" s="80"/>
      <c r="P19" s="80"/>
      <c r="Q19" s="80" t="s">
        <v>76</v>
      </c>
      <c r="R19" s="76" t="s">
        <v>19</v>
      </c>
      <c r="S19" s="123"/>
      <c r="T19" s="123"/>
    </row>
    <row r="20" spans="1:20" ht="14.25" customHeight="1" x14ac:dyDescent="0.25">
      <c r="A20" s="124">
        <v>19</v>
      </c>
      <c r="B20" s="125">
        <v>45148</v>
      </c>
      <c r="C20" s="80" t="s">
        <v>143</v>
      </c>
      <c r="D20" s="80" t="s">
        <v>144</v>
      </c>
      <c r="E20" s="80">
        <v>32</v>
      </c>
      <c r="F20" s="86" t="s">
        <v>30</v>
      </c>
      <c r="G20" s="91">
        <v>45145</v>
      </c>
      <c r="H20" s="80">
        <f t="shared" si="0"/>
        <v>3</v>
      </c>
      <c r="I20" s="80" t="s">
        <v>22</v>
      </c>
      <c r="J20" s="80">
        <v>0.75</v>
      </c>
      <c r="K20" s="80" t="s">
        <v>17</v>
      </c>
      <c r="L20" s="76" t="s">
        <v>41</v>
      </c>
      <c r="M20" s="80"/>
      <c r="N20" s="80"/>
      <c r="O20" s="80"/>
      <c r="P20" s="80" t="s">
        <v>25</v>
      </c>
      <c r="Q20" s="80" t="s">
        <v>145</v>
      </c>
      <c r="R20" s="76" t="s">
        <v>19</v>
      </c>
      <c r="S20" s="123"/>
      <c r="T20" s="123"/>
    </row>
    <row r="21" spans="1:20" ht="14.25" customHeight="1" x14ac:dyDescent="0.25">
      <c r="A21" s="124">
        <v>20</v>
      </c>
      <c r="B21" s="125">
        <v>45148</v>
      </c>
      <c r="C21" s="80" t="s">
        <v>117</v>
      </c>
      <c r="D21" s="80" t="s">
        <v>118</v>
      </c>
      <c r="E21" s="80">
        <v>78</v>
      </c>
      <c r="F21" s="86" t="s">
        <v>30</v>
      </c>
      <c r="G21" s="91">
        <v>45141</v>
      </c>
      <c r="H21" s="80">
        <f t="shared" si="0"/>
        <v>7</v>
      </c>
      <c r="I21" s="80" t="s">
        <v>16</v>
      </c>
      <c r="J21" s="80">
        <v>1.5</v>
      </c>
      <c r="K21" s="80" t="s">
        <v>39</v>
      </c>
      <c r="L21" s="76" t="s">
        <v>41</v>
      </c>
      <c r="M21" s="80" t="s">
        <v>44</v>
      </c>
      <c r="N21" s="80"/>
      <c r="O21" s="80"/>
      <c r="P21" s="80"/>
      <c r="Q21" s="80" t="s">
        <v>119</v>
      </c>
      <c r="R21" s="76" t="s">
        <v>19</v>
      </c>
      <c r="S21" s="123"/>
      <c r="T21" s="123"/>
    </row>
    <row r="22" spans="1:20" ht="14.25" customHeight="1" x14ac:dyDescent="0.25">
      <c r="A22" s="124">
        <v>21</v>
      </c>
      <c r="B22" s="125">
        <v>45148</v>
      </c>
      <c r="C22" s="80" t="s">
        <v>117</v>
      </c>
      <c r="D22" s="80" t="s">
        <v>118</v>
      </c>
      <c r="E22" s="80">
        <v>78</v>
      </c>
      <c r="F22" s="86" t="s">
        <v>30</v>
      </c>
      <c r="G22" s="91">
        <v>45141</v>
      </c>
      <c r="H22" s="80">
        <f t="shared" si="0"/>
        <v>7</v>
      </c>
      <c r="I22" s="80" t="s">
        <v>16</v>
      </c>
      <c r="J22" s="80">
        <v>1.5</v>
      </c>
      <c r="K22" s="80" t="s">
        <v>39</v>
      </c>
      <c r="L22" s="76" t="s">
        <v>41</v>
      </c>
      <c r="M22" s="80"/>
      <c r="N22" s="80" t="s">
        <v>27</v>
      </c>
      <c r="O22" s="80"/>
      <c r="P22" s="80"/>
      <c r="Q22" s="80" t="s">
        <v>119</v>
      </c>
      <c r="R22" s="76" t="s">
        <v>19</v>
      </c>
      <c r="S22" s="123"/>
      <c r="T22" s="123"/>
    </row>
    <row r="23" spans="1:20" ht="14.25" customHeight="1" x14ac:dyDescent="0.25">
      <c r="A23" s="124">
        <v>22</v>
      </c>
      <c r="B23" s="125">
        <v>45148</v>
      </c>
      <c r="C23" s="85" t="s">
        <v>42</v>
      </c>
      <c r="D23" s="86" t="s">
        <v>43</v>
      </c>
      <c r="E23" s="86">
        <v>41</v>
      </c>
      <c r="F23" s="86" t="s">
        <v>30</v>
      </c>
      <c r="G23" s="69">
        <v>45114</v>
      </c>
      <c r="H23" s="80">
        <f t="shared" si="0"/>
        <v>33</v>
      </c>
      <c r="I23" s="86" t="s">
        <v>22</v>
      </c>
      <c r="J23" s="86">
        <v>1</v>
      </c>
      <c r="K23" s="86" t="s">
        <v>39</v>
      </c>
      <c r="L23" s="76" t="s">
        <v>41</v>
      </c>
      <c r="M23" s="86" t="s">
        <v>44</v>
      </c>
      <c r="N23" s="86"/>
      <c r="O23" s="86"/>
      <c r="P23" s="86"/>
      <c r="Q23" s="86" t="s">
        <v>45</v>
      </c>
      <c r="R23" s="76" t="s">
        <v>19</v>
      </c>
      <c r="S23" s="123"/>
      <c r="T23" s="123"/>
    </row>
    <row r="24" spans="1:20" ht="14.25" customHeight="1" x14ac:dyDescent="0.25">
      <c r="A24" s="124">
        <v>23</v>
      </c>
      <c r="B24" s="125">
        <v>45148</v>
      </c>
      <c r="C24" s="80" t="s">
        <v>141</v>
      </c>
      <c r="D24" s="80" t="s">
        <v>142</v>
      </c>
      <c r="E24" s="80">
        <v>74</v>
      </c>
      <c r="F24" s="86" t="s">
        <v>30</v>
      </c>
      <c r="G24" s="91">
        <v>45145</v>
      </c>
      <c r="H24" s="80">
        <f t="shared" si="0"/>
        <v>3</v>
      </c>
      <c r="I24" s="80" t="s">
        <v>26</v>
      </c>
      <c r="J24" s="80">
        <v>1</v>
      </c>
      <c r="K24" s="80" t="s">
        <v>39</v>
      </c>
      <c r="L24" s="76" t="s">
        <v>41</v>
      </c>
      <c r="M24" s="80"/>
      <c r="N24" s="80"/>
      <c r="O24" s="80" t="s">
        <v>25</v>
      </c>
      <c r="P24" s="80"/>
      <c r="Q24" s="80" t="s">
        <v>74</v>
      </c>
      <c r="R24" s="76" t="s">
        <v>19</v>
      </c>
      <c r="S24" s="123"/>
      <c r="T24" s="123"/>
    </row>
    <row r="25" spans="1:20" ht="14.25" customHeight="1" x14ac:dyDescent="0.25">
      <c r="A25" s="124">
        <v>24</v>
      </c>
      <c r="B25" s="125">
        <v>45148</v>
      </c>
      <c r="C25" s="80" t="s">
        <v>149</v>
      </c>
      <c r="D25" s="80" t="s">
        <v>150</v>
      </c>
      <c r="E25" s="80">
        <v>73</v>
      </c>
      <c r="F25" s="86" t="s">
        <v>30</v>
      </c>
      <c r="G25" s="91">
        <v>45146</v>
      </c>
      <c r="H25" s="80">
        <f t="shared" si="0"/>
        <v>2</v>
      </c>
      <c r="I25" s="80" t="s">
        <v>22</v>
      </c>
      <c r="J25" s="80">
        <v>1</v>
      </c>
      <c r="K25" s="80" t="s">
        <v>39</v>
      </c>
      <c r="L25" s="76" t="s">
        <v>41</v>
      </c>
      <c r="M25" s="80"/>
      <c r="N25" s="80"/>
      <c r="O25" s="80" t="s">
        <v>25</v>
      </c>
      <c r="P25" s="80"/>
      <c r="Q25" s="80" t="s">
        <v>151</v>
      </c>
      <c r="R25" s="80" t="s">
        <v>19</v>
      </c>
      <c r="S25" s="123"/>
      <c r="T25" s="123"/>
    </row>
    <row r="26" spans="1:20" ht="14.25" customHeight="1" x14ac:dyDescent="0.25">
      <c r="A26" s="124">
        <v>25</v>
      </c>
      <c r="B26" s="125">
        <v>45148</v>
      </c>
      <c r="C26" s="80" t="s">
        <v>134</v>
      </c>
      <c r="D26" s="80" t="s">
        <v>135</v>
      </c>
      <c r="E26" s="80">
        <v>42</v>
      </c>
      <c r="F26" s="86" t="s">
        <v>30</v>
      </c>
      <c r="G26" s="91">
        <v>45143</v>
      </c>
      <c r="H26" s="80">
        <f t="shared" si="0"/>
        <v>5</v>
      </c>
      <c r="I26" s="80" t="s">
        <v>22</v>
      </c>
      <c r="J26" s="80">
        <v>0.75</v>
      </c>
      <c r="K26" s="80" t="s">
        <v>17</v>
      </c>
      <c r="L26" s="76" t="s">
        <v>41</v>
      </c>
      <c r="M26" s="80"/>
      <c r="N26" s="80"/>
      <c r="O26" s="80" t="s">
        <v>25</v>
      </c>
      <c r="P26" s="80"/>
      <c r="Q26" s="80" t="s">
        <v>58</v>
      </c>
      <c r="R26" s="76" t="s">
        <v>19</v>
      </c>
      <c r="S26" s="122"/>
      <c r="T26" s="122"/>
    </row>
    <row r="27" spans="1:20" ht="14.25" customHeight="1" x14ac:dyDescent="0.25">
      <c r="A27" s="124">
        <v>26</v>
      </c>
      <c r="B27" s="125">
        <v>45148</v>
      </c>
      <c r="C27" s="80" t="s">
        <v>113</v>
      </c>
      <c r="D27" s="80" t="s">
        <v>115</v>
      </c>
      <c r="E27" s="80">
        <v>60</v>
      </c>
      <c r="F27" s="86" t="s">
        <v>30</v>
      </c>
      <c r="G27" s="91">
        <v>45141</v>
      </c>
      <c r="H27" s="80">
        <f t="shared" si="0"/>
        <v>7</v>
      </c>
      <c r="I27" s="80" t="s">
        <v>26</v>
      </c>
      <c r="J27" s="80">
        <v>1</v>
      </c>
      <c r="K27" s="80" t="s">
        <v>17</v>
      </c>
      <c r="L27" s="76" t="s">
        <v>41</v>
      </c>
      <c r="M27" s="80" t="s">
        <v>52</v>
      </c>
      <c r="N27" s="80"/>
      <c r="O27" s="80"/>
      <c r="P27" s="80"/>
      <c r="Q27" s="80" t="s">
        <v>116</v>
      </c>
      <c r="R27" s="76" t="s">
        <v>19</v>
      </c>
      <c r="S27" s="122"/>
      <c r="T27" s="122"/>
    </row>
    <row r="28" spans="1:20" ht="14.25" customHeight="1" x14ac:dyDescent="0.25">
      <c r="A28" s="124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</row>
    <row r="29" spans="1:20" ht="14.25" customHeight="1" x14ac:dyDescent="0.25">
      <c r="A29" s="124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</row>
    <row r="30" spans="1:20" ht="14.25" customHeight="1" x14ac:dyDescent="0.25">
      <c r="A30" s="124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</row>
    <row r="31" spans="1:20" ht="14.25" customHeight="1" x14ac:dyDescent="0.25"/>
    <row r="32" spans="1:2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0"/>
  <sheetViews>
    <sheetView zoomScale="60" zoomScaleNormal="60" workbookViewId="0">
      <selection activeCell="A2" sqref="A2:R20"/>
    </sheetView>
  </sheetViews>
  <sheetFormatPr baseColWidth="10" defaultColWidth="14.42578125" defaultRowHeight="15" customHeight="1" x14ac:dyDescent="0.25"/>
  <cols>
    <col min="1" max="1" width="5.285156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5.42578125" customWidth="1"/>
    <col min="7" max="7" width="13" customWidth="1"/>
    <col min="8" max="8" width="13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0.710937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0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66</v>
      </c>
      <c r="S1" s="25" t="s">
        <v>15</v>
      </c>
      <c r="T1" s="25" t="s">
        <v>67</v>
      </c>
    </row>
    <row r="2" spans="1:20" ht="15.75" x14ac:dyDescent="0.25">
      <c r="A2" s="64">
        <v>1</v>
      </c>
      <c r="B2" s="13">
        <v>45149</v>
      </c>
      <c r="C2" s="77" t="s">
        <v>28</v>
      </c>
      <c r="D2" s="77" t="s">
        <v>29</v>
      </c>
      <c r="E2" s="77">
        <v>81</v>
      </c>
      <c r="F2" s="77" t="s">
        <v>30</v>
      </c>
      <c r="G2" s="95">
        <v>45105</v>
      </c>
      <c r="H2" s="78">
        <f>DAYS360(G2,B2)</f>
        <v>43</v>
      </c>
      <c r="I2" s="77" t="s">
        <v>31</v>
      </c>
      <c r="J2" s="77">
        <v>1.5</v>
      </c>
      <c r="K2" s="77" t="s">
        <v>17</v>
      </c>
      <c r="L2" s="76" t="s">
        <v>41</v>
      </c>
      <c r="M2" s="77" t="s">
        <v>32</v>
      </c>
      <c r="N2" s="77"/>
      <c r="O2" s="77"/>
      <c r="P2" s="77"/>
      <c r="Q2" s="77" t="s">
        <v>33</v>
      </c>
      <c r="R2" s="76" t="s">
        <v>19</v>
      </c>
      <c r="S2" s="12"/>
      <c r="T2" s="11"/>
    </row>
    <row r="3" spans="1:20" ht="15.75" x14ac:dyDescent="0.25">
      <c r="A3" s="64">
        <v>2</v>
      </c>
      <c r="B3" s="13">
        <v>45149</v>
      </c>
      <c r="C3" s="77" t="s">
        <v>47</v>
      </c>
      <c r="D3" s="77" t="s">
        <v>48</v>
      </c>
      <c r="E3" s="77">
        <v>73</v>
      </c>
      <c r="F3" s="77" t="s">
        <v>30</v>
      </c>
      <c r="G3" s="95">
        <v>45117</v>
      </c>
      <c r="H3" s="78">
        <f t="shared" ref="H3:H20" si="0">DAYS360(G3,B3)</f>
        <v>31</v>
      </c>
      <c r="I3" s="77" t="s">
        <v>16</v>
      </c>
      <c r="J3" s="77">
        <v>1.5</v>
      </c>
      <c r="K3" s="77" t="s">
        <v>17</v>
      </c>
      <c r="L3" s="76" t="s">
        <v>41</v>
      </c>
      <c r="M3" s="77" t="s">
        <v>32</v>
      </c>
      <c r="N3" s="77"/>
      <c r="O3" s="77"/>
      <c r="P3" s="77"/>
      <c r="Q3" s="77" t="s">
        <v>49</v>
      </c>
      <c r="R3" s="76" t="s">
        <v>19</v>
      </c>
      <c r="S3" s="12"/>
      <c r="T3" s="11"/>
    </row>
    <row r="4" spans="1:20" ht="15.75" x14ac:dyDescent="0.25">
      <c r="A4" s="64">
        <v>3</v>
      </c>
      <c r="B4" s="13">
        <v>45149</v>
      </c>
      <c r="C4" s="80" t="s">
        <v>73</v>
      </c>
      <c r="D4" s="80" t="s">
        <v>75</v>
      </c>
      <c r="E4" s="80">
        <v>79</v>
      </c>
      <c r="F4" s="77" t="s">
        <v>30</v>
      </c>
      <c r="G4" s="91">
        <v>45125</v>
      </c>
      <c r="H4" s="78">
        <f t="shared" si="0"/>
        <v>23</v>
      </c>
      <c r="I4" s="80" t="s">
        <v>26</v>
      </c>
      <c r="J4" s="80">
        <v>1</v>
      </c>
      <c r="K4" s="80" t="s">
        <v>39</v>
      </c>
      <c r="L4" s="76" t="s">
        <v>41</v>
      </c>
      <c r="M4" s="80" t="s">
        <v>44</v>
      </c>
      <c r="N4" s="80"/>
      <c r="O4" s="80"/>
      <c r="P4" s="80"/>
      <c r="Q4" s="80" t="s">
        <v>76</v>
      </c>
      <c r="R4" s="76" t="s">
        <v>19</v>
      </c>
      <c r="S4" s="65"/>
      <c r="T4" s="11"/>
    </row>
    <row r="5" spans="1:20" ht="15.75" x14ac:dyDescent="0.25">
      <c r="A5" s="64">
        <v>4</v>
      </c>
      <c r="B5" s="13">
        <v>45149</v>
      </c>
      <c r="C5" s="80" t="s">
        <v>95</v>
      </c>
      <c r="D5" s="80" t="s">
        <v>96</v>
      </c>
      <c r="E5" s="80">
        <v>74</v>
      </c>
      <c r="F5" s="77" t="s">
        <v>30</v>
      </c>
      <c r="G5" s="91">
        <v>45138</v>
      </c>
      <c r="H5" s="78">
        <f t="shared" si="0"/>
        <v>11</v>
      </c>
      <c r="I5" s="80" t="s">
        <v>97</v>
      </c>
      <c r="J5" s="80">
        <v>1.5</v>
      </c>
      <c r="K5" s="80" t="s">
        <v>17</v>
      </c>
      <c r="L5" s="76" t="s">
        <v>41</v>
      </c>
      <c r="M5" s="80" t="s">
        <v>44</v>
      </c>
      <c r="N5" s="80"/>
      <c r="O5" s="80"/>
      <c r="P5" s="80"/>
      <c r="Q5" s="80" t="s">
        <v>100</v>
      </c>
      <c r="R5" s="76" t="s">
        <v>19</v>
      </c>
      <c r="S5" s="65"/>
      <c r="T5" s="11"/>
    </row>
    <row r="6" spans="1:20" ht="15.75" x14ac:dyDescent="0.25">
      <c r="A6" s="64">
        <v>5</v>
      </c>
      <c r="B6" s="13">
        <v>45149</v>
      </c>
      <c r="C6" s="16" t="s">
        <v>102</v>
      </c>
      <c r="D6" s="80" t="s">
        <v>106</v>
      </c>
      <c r="E6" s="80">
        <v>68</v>
      </c>
      <c r="F6" s="77" t="s">
        <v>30</v>
      </c>
      <c r="G6" s="91">
        <v>45140</v>
      </c>
      <c r="H6" s="78">
        <f t="shared" si="0"/>
        <v>9</v>
      </c>
      <c r="I6" s="80" t="s">
        <v>22</v>
      </c>
      <c r="J6" s="80">
        <v>1</v>
      </c>
      <c r="K6" s="80" t="s">
        <v>17</v>
      </c>
      <c r="L6" s="76" t="s">
        <v>41</v>
      </c>
      <c r="M6" s="80" t="s">
        <v>27</v>
      </c>
      <c r="N6" s="80"/>
      <c r="O6" s="80"/>
      <c r="P6" s="80"/>
      <c r="Q6" s="80" t="s">
        <v>107</v>
      </c>
      <c r="R6" s="76" t="s">
        <v>19</v>
      </c>
      <c r="S6" s="66"/>
      <c r="T6" s="11"/>
    </row>
    <row r="7" spans="1:20" ht="15.75" x14ac:dyDescent="0.25">
      <c r="A7" s="64">
        <v>6</v>
      </c>
      <c r="B7" s="13">
        <v>45149</v>
      </c>
      <c r="C7" s="16" t="s">
        <v>103</v>
      </c>
      <c r="D7" s="80" t="s">
        <v>104</v>
      </c>
      <c r="E7" s="80">
        <v>82</v>
      </c>
      <c r="F7" s="77" t="s">
        <v>30</v>
      </c>
      <c r="G7" s="91">
        <v>45140</v>
      </c>
      <c r="H7" s="78">
        <f t="shared" si="0"/>
        <v>9</v>
      </c>
      <c r="I7" s="80" t="s">
        <v>22</v>
      </c>
      <c r="J7" s="80">
        <v>1</v>
      </c>
      <c r="K7" s="80" t="s">
        <v>17</v>
      </c>
      <c r="L7" s="76" t="s">
        <v>41</v>
      </c>
      <c r="M7" s="80" t="s">
        <v>27</v>
      </c>
      <c r="N7" s="80"/>
      <c r="O7" s="80"/>
      <c r="P7" s="80"/>
      <c r="Q7" s="80" t="s">
        <v>105</v>
      </c>
      <c r="R7" s="76" t="s">
        <v>19</v>
      </c>
      <c r="S7" s="14"/>
      <c r="T7" s="11"/>
    </row>
    <row r="8" spans="1:20" ht="15.75" x14ac:dyDescent="0.25">
      <c r="A8" s="64">
        <v>7</v>
      </c>
      <c r="B8" s="13">
        <v>45149</v>
      </c>
      <c r="C8" s="80" t="s">
        <v>109</v>
      </c>
      <c r="D8" s="80" t="s">
        <v>110</v>
      </c>
      <c r="E8" s="80">
        <v>56</v>
      </c>
      <c r="F8" s="77" t="s">
        <v>30</v>
      </c>
      <c r="G8" s="91">
        <v>45140</v>
      </c>
      <c r="H8" s="78">
        <f t="shared" si="0"/>
        <v>9</v>
      </c>
      <c r="I8" s="80" t="s">
        <v>111</v>
      </c>
      <c r="J8" s="80">
        <v>1.5</v>
      </c>
      <c r="K8" s="80" t="s">
        <v>17</v>
      </c>
      <c r="L8" s="76" t="s">
        <v>41</v>
      </c>
      <c r="M8" s="80" t="s">
        <v>44</v>
      </c>
      <c r="N8" s="80"/>
      <c r="O8" s="80"/>
      <c r="P8" s="80"/>
      <c r="Q8" s="80" t="s">
        <v>112</v>
      </c>
      <c r="R8" s="76" t="s">
        <v>19</v>
      </c>
      <c r="S8" s="7"/>
      <c r="T8" s="11"/>
    </row>
    <row r="9" spans="1:20" ht="15.75" x14ac:dyDescent="0.25">
      <c r="A9" s="64">
        <v>8</v>
      </c>
      <c r="B9" s="13">
        <v>45149</v>
      </c>
      <c r="C9" s="80" t="s">
        <v>117</v>
      </c>
      <c r="D9" s="80" t="s">
        <v>118</v>
      </c>
      <c r="E9" s="80">
        <v>78</v>
      </c>
      <c r="F9" s="77" t="s">
        <v>30</v>
      </c>
      <c r="G9" s="91">
        <v>45141</v>
      </c>
      <c r="H9" s="78">
        <f t="shared" si="0"/>
        <v>8</v>
      </c>
      <c r="I9" s="80" t="s">
        <v>16</v>
      </c>
      <c r="J9" s="80">
        <v>1.5</v>
      </c>
      <c r="K9" s="80" t="s">
        <v>39</v>
      </c>
      <c r="L9" s="76" t="s">
        <v>41</v>
      </c>
      <c r="M9" s="80"/>
      <c r="N9" s="80" t="s">
        <v>27</v>
      </c>
      <c r="O9" s="80"/>
      <c r="P9" s="80"/>
      <c r="Q9" s="80" t="s">
        <v>119</v>
      </c>
      <c r="R9" s="76" t="s">
        <v>19</v>
      </c>
      <c r="S9" s="7"/>
      <c r="T9" s="11"/>
    </row>
    <row r="10" spans="1:20" ht="15.75" x14ac:dyDescent="0.25">
      <c r="A10" s="64">
        <v>9</v>
      </c>
      <c r="B10" s="13">
        <v>45149</v>
      </c>
      <c r="C10" s="80" t="s">
        <v>117</v>
      </c>
      <c r="D10" s="80" t="s">
        <v>118</v>
      </c>
      <c r="E10" s="80">
        <v>78</v>
      </c>
      <c r="F10" s="77" t="s">
        <v>30</v>
      </c>
      <c r="G10" s="91">
        <v>45141</v>
      </c>
      <c r="H10" s="78">
        <f t="shared" si="0"/>
        <v>8</v>
      </c>
      <c r="I10" s="80" t="s">
        <v>16</v>
      </c>
      <c r="J10" s="80">
        <v>1.5</v>
      </c>
      <c r="K10" s="80" t="s">
        <v>39</v>
      </c>
      <c r="L10" s="76" t="s">
        <v>41</v>
      </c>
      <c r="M10" s="80"/>
      <c r="N10" s="80" t="s">
        <v>27</v>
      </c>
      <c r="O10" s="80"/>
      <c r="P10" s="80"/>
      <c r="Q10" s="80" t="s">
        <v>119</v>
      </c>
      <c r="R10" s="76" t="s">
        <v>19</v>
      </c>
      <c r="S10" s="12"/>
      <c r="T10" s="11"/>
    </row>
    <row r="11" spans="1:20" ht="15.75" x14ac:dyDescent="0.25">
      <c r="A11" s="64">
        <v>10</v>
      </c>
      <c r="B11" s="13">
        <v>45149</v>
      </c>
      <c r="C11" s="80" t="s">
        <v>121</v>
      </c>
      <c r="D11" s="80" t="s">
        <v>123</v>
      </c>
      <c r="E11" s="80">
        <v>82</v>
      </c>
      <c r="F11" s="77" t="s">
        <v>30</v>
      </c>
      <c r="G11" s="91">
        <v>45142</v>
      </c>
      <c r="H11" s="78">
        <f t="shared" si="0"/>
        <v>7</v>
      </c>
      <c r="I11" s="80" t="s">
        <v>127</v>
      </c>
      <c r="J11" s="80">
        <v>1</v>
      </c>
      <c r="K11" s="80" t="s">
        <v>39</v>
      </c>
      <c r="L11" s="76" t="s">
        <v>41</v>
      </c>
      <c r="M11" s="80" t="s">
        <v>32</v>
      </c>
      <c r="N11" s="80"/>
      <c r="O11" s="80"/>
      <c r="P11" s="80"/>
      <c r="Q11" s="80" t="s">
        <v>129</v>
      </c>
      <c r="R11" s="76" t="s">
        <v>19</v>
      </c>
      <c r="S11" s="7"/>
      <c r="T11" s="11"/>
    </row>
    <row r="12" spans="1:20" ht="15.75" x14ac:dyDescent="0.25">
      <c r="A12" s="64">
        <v>11</v>
      </c>
      <c r="B12" s="13">
        <v>45149</v>
      </c>
      <c r="C12" s="80" t="s">
        <v>125</v>
      </c>
      <c r="D12" s="80" t="s">
        <v>126</v>
      </c>
      <c r="E12" s="80">
        <v>75</v>
      </c>
      <c r="F12" s="77" t="s">
        <v>30</v>
      </c>
      <c r="G12" s="91">
        <v>45142</v>
      </c>
      <c r="H12" s="78">
        <f t="shared" si="0"/>
        <v>7</v>
      </c>
      <c r="I12" s="80" t="s">
        <v>24</v>
      </c>
      <c r="J12" s="80">
        <v>1</v>
      </c>
      <c r="K12" s="80" t="s">
        <v>17</v>
      </c>
      <c r="L12" s="76" t="s">
        <v>41</v>
      </c>
      <c r="M12" s="80"/>
      <c r="N12" s="80" t="s">
        <v>46</v>
      </c>
      <c r="O12" s="80"/>
      <c r="P12" s="80"/>
      <c r="Q12" s="80" t="s">
        <v>131</v>
      </c>
      <c r="R12" s="76" t="s">
        <v>19</v>
      </c>
      <c r="S12" s="12"/>
      <c r="T12" s="11"/>
    </row>
    <row r="13" spans="1:20" ht="15.75" x14ac:dyDescent="0.25">
      <c r="A13" s="64">
        <v>12</v>
      </c>
      <c r="B13" s="13">
        <v>45149</v>
      </c>
      <c r="C13" s="80" t="s">
        <v>134</v>
      </c>
      <c r="D13" s="80" t="s">
        <v>135</v>
      </c>
      <c r="E13" s="80">
        <v>42</v>
      </c>
      <c r="F13" s="77" t="s">
        <v>30</v>
      </c>
      <c r="G13" s="91">
        <v>45143</v>
      </c>
      <c r="H13" s="78">
        <f t="shared" si="0"/>
        <v>6</v>
      </c>
      <c r="I13" s="80" t="s">
        <v>22</v>
      </c>
      <c r="J13" s="80">
        <v>0.75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80" t="s">
        <v>58</v>
      </c>
      <c r="R13" s="76" t="s">
        <v>19</v>
      </c>
      <c r="S13" s="7"/>
      <c r="T13" s="11"/>
    </row>
    <row r="14" spans="1:20" ht="15.75" x14ac:dyDescent="0.25">
      <c r="A14" s="64">
        <v>13</v>
      </c>
      <c r="B14" s="13">
        <v>45149</v>
      </c>
      <c r="C14" s="80" t="s">
        <v>136</v>
      </c>
      <c r="D14" s="80" t="s">
        <v>138</v>
      </c>
      <c r="E14" s="80">
        <v>29</v>
      </c>
      <c r="F14" s="77" t="s">
        <v>30</v>
      </c>
      <c r="G14" s="91">
        <v>45145</v>
      </c>
      <c r="H14" s="78">
        <f t="shared" si="0"/>
        <v>4</v>
      </c>
      <c r="I14" s="80" t="s">
        <v>22</v>
      </c>
      <c r="J14" s="80">
        <v>0.75</v>
      </c>
      <c r="K14" s="80" t="s">
        <v>17</v>
      </c>
      <c r="L14" s="76" t="s">
        <v>41</v>
      </c>
      <c r="M14" s="80"/>
      <c r="N14" s="80"/>
      <c r="O14" s="80" t="s">
        <v>25</v>
      </c>
      <c r="P14" s="80"/>
      <c r="Q14" s="80" t="s">
        <v>94</v>
      </c>
      <c r="R14" s="76" t="s">
        <v>19</v>
      </c>
      <c r="S14" s="7"/>
      <c r="T14" s="11"/>
    </row>
    <row r="15" spans="1:20" ht="15.75" x14ac:dyDescent="0.25">
      <c r="A15" s="64">
        <v>14</v>
      </c>
      <c r="B15" s="13">
        <v>45149</v>
      </c>
      <c r="C15" s="80" t="s">
        <v>137</v>
      </c>
      <c r="D15" s="80" t="s">
        <v>139</v>
      </c>
      <c r="E15" s="80">
        <v>49</v>
      </c>
      <c r="F15" s="77" t="s">
        <v>30</v>
      </c>
      <c r="G15" s="91">
        <v>45145</v>
      </c>
      <c r="H15" s="78">
        <f t="shared" si="0"/>
        <v>4</v>
      </c>
      <c r="I15" s="80" t="s">
        <v>127</v>
      </c>
      <c r="J15" s="80">
        <v>1</v>
      </c>
      <c r="K15" s="80" t="s">
        <v>39</v>
      </c>
      <c r="L15" s="76" t="s">
        <v>41</v>
      </c>
      <c r="M15" s="80"/>
      <c r="N15" s="80"/>
      <c r="O15" s="80" t="s">
        <v>69</v>
      </c>
      <c r="P15" s="80"/>
      <c r="Q15" s="80" t="s">
        <v>140</v>
      </c>
      <c r="R15" s="76" t="s">
        <v>19</v>
      </c>
      <c r="S15" s="65"/>
      <c r="T15" s="11"/>
    </row>
    <row r="16" spans="1:20" ht="15.75" x14ac:dyDescent="0.25">
      <c r="A16" s="64">
        <v>15</v>
      </c>
      <c r="B16" s="13">
        <v>45149</v>
      </c>
      <c r="C16" s="80" t="s">
        <v>137</v>
      </c>
      <c r="D16" s="80" t="s">
        <v>139</v>
      </c>
      <c r="E16" s="80">
        <v>49</v>
      </c>
      <c r="F16" s="77" t="s">
        <v>30</v>
      </c>
      <c r="G16" s="91">
        <v>45145</v>
      </c>
      <c r="H16" s="78">
        <f t="shared" si="0"/>
        <v>4</v>
      </c>
      <c r="I16" s="80" t="s">
        <v>127</v>
      </c>
      <c r="J16" s="80">
        <v>1</v>
      </c>
      <c r="K16" s="80" t="s">
        <v>39</v>
      </c>
      <c r="L16" s="76" t="s">
        <v>41</v>
      </c>
      <c r="M16" s="80"/>
      <c r="N16" s="80"/>
      <c r="O16" s="80" t="s">
        <v>69</v>
      </c>
      <c r="P16" s="80"/>
      <c r="Q16" s="80" t="s">
        <v>140</v>
      </c>
      <c r="R16" s="76" t="s">
        <v>19</v>
      </c>
      <c r="S16" s="65"/>
      <c r="T16" s="11"/>
    </row>
    <row r="17" spans="1:20" ht="15.75" x14ac:dyDescent="0.25">
      <c r="A17" s="64">
        <v>16</v>
      </c>
      <c r="B17" s="13">
        <v>45149</v>
      </c>
      <c r="C17" s="80" t="s">
        <v>141</v>
      </c>
      <c r="D17" s="80" t="s">
        <v>142</v>
      </c>
      <c r="E17" s="80">
        <v>74</v>
      </c>
      <c r="F17" s="77" t="s">
        <v>30</v>
      </c>
      <c r="G17" s="91">
        <v>45145</v>
      </c>
      <c r="H17" s="78">
        <f t="shared" si="0"/>
        <v>4</v>
      </c>
      <c r="I17" s="80" t="s">
        <v>26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74</v>
      </c>
      <c r="R17" s="76" t="s">
        <v>19</v>
      </c>
      <c r="S17" s="65"/>
      <c r="T17" s="11"/>
    </row>
    <row r="18" spans="1:20" ht="15.75" x14ac:dyDescent="0.25">
      <c r="A18" s="64">
        <v>17</v>
      </c>
      <c r="B18" s="13">
        <v>45149</v>
      </c>
      <c r="C18" s="80" t="s">
        <v>149</v>
      </c>
      <c r="D18" s="80" t="s">
        <v>150</v>
      </c>
      <c r="E18" s="80">
        <v>73</v>
      </c>
      <c r="F18" s="77" t="s">
        <v>30</v>
      </c>
      <c r="G18" s="91">
        <v>45146</v>
      </c>
      <c r="H18" s="78">
        <f t="shared" si="0"/>
        <v>3</v>
      </c>
      <c r="I18" s="80" t="s">
        <v>22</v>
      </c>
      <c r="J18" s="80">
        <v>1.5</v>
      </c>
      <c r="K18" s="80" t="s">
        <v>39</v>
      </c>
      <c r="L18" s="76" t="s">
        <v>41</v>
      </c>
      <c r="M18" s="80" t="s">
        <v>32</v>
      </c>
      <c r="N18" s="80"/>
      <c r="O18" s="80" t="s">
        <v>25</v>
      </c>
      <c r="P18" s="80"/>
      <c r="Q18" s="80" t="s">
        <v>151</v>
      </c>
      <c r="R18" s="80" t="s">
        <v>19</v>
      </c>
      <c r="S18" s="11"/>
      <c r="T18" s="11"/>
    </row>
    <row r="19" spans="1:20" ht="15.75" x14ac:dyDescent="0.25">
      <c r="A19" s="64">
        <v>18</v>
      </c>
      <c r="B19" s="13">
        <v>45149</v>
      </c>
      <c r="C19" s="80" t="s">
        <v>152</v>
      </c>
      <c r="D19" s="80" t="s">
        <v>153</v>
      </c>
      <c r="E19" s="80">
        <v>60</v>
      </c>
      <c r="F19" s="77" t="s">
        <v>30</v>
      </c>
      <c r="G19" s="91">
        <v>45147</v>
      </c>
      <c r="H19" s="78">
        <f t="shared" si="0"/>
        <v>2</v>
      </c>
      <c r="I19" s="80" t="s">
        <v>22</v>
      </c>
      <c r="J19" s="80">
        <v>1</v>
      </c>
      <c r="K19" s="80" t="s">
        <v>39</v>
      </c>
      <c r="L19" s="76" t="s">
        <v>41</v>
      </c>
      <c r="M19" s="80"/>
      <c r="N19" s="80" t="s">
        <v>27</v>
      </c>
      <c r="O19" s="80"/>
      <c r="P19" s="80"/>
      <c r="Q19" s="80" t="s">
        <v>76</v>
      </c>
      <c r="R19" s="80" t="s">
        <v>19</v>
      </c>
      <c r="S19" s="11"/>
      <c r="T19" s="11"/>
    </row>
    <row r="20" spans="1:20" ht="15.75" x14ac:dyDescent="0.25">
      <c r="A20" s="64">
        <v>19</v>
      </c>
      <c r="B20" s="13">
        <v>45149</v>
      </c>
      <c r="C20" s="80" t="s">
        <v>152</v>
      </c>
      <c r="D20" s="80" t="s">
        <v>153</v>
      </c>
      <c r="E20" s="80">
        <v>60</v>
      </c>
      <c r="F20" s="77" t="s">
        <v>30</v>
      </c>
      <c r="G20" s="91">
        <v>45147</v>
      </c>
      <c r="H20" s="78">
        <f t="shared" si="0"/>
        <v>2</v>
      </c>
      <c r="I20" s="80" t="s">
        <v>22</v>
      </c>
      <c r="J20" s="80">
        <v>1</v>
      </c>
      <c r="K20" s="80" t="s">
        <v>39</v>
      </c>
      <c r="L20" s="76" t="s">
        <v>41</v>
      </c>
      <c r="M20" s="80" t="s">
        <v>44</v>
      </c>
      <c r="N20" s="80"/>
      <c r="O20" s="80"/>
      <c r="P20" s="80"/>
      <c r="Q20" s="80" t="s">
        <v>76</v>
      </c>
      <c r="R20" s="80" t="s">
        <v>19</v>
      </c>
      <c r="S20" s="11"/>
      <c r="T20" s="11"/>
    </row>
    <row r="21" spans="1:20" ht="15.75" customHeight="1" x14ac:dyDescent="0.25"/>
    <row r="22" spans="1:20" ht="15.75" customHeight="1" x14ac:dyDescent="0.25"/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0"/>
  <sheetViews>
    <sheetView zoomScale="70" zoomScaleNormal="70" workbookViewId="0">
      <selection activeCell="A22" sqref="A22:T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9.28515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0" ht="63" x14ac:dyDescent="0.25">
      <c r="A1" s="67"/>
      <c r="B1" s="68" t="s">
        <v>65</v>
      </c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66</v>
      </c>
      <c r="S1" s="1" t="s">
        <v>15</v>
      </c>
      <c r="T1" s="1" t="s">
        <v>67</v>
      </c>
    </row>
    <row r="2" spans="1:20" ht="15.75" x14ac:dyDescent="0.25">
      <c r="A2" s="9">
        <v>1</v>
      </c>
      <c r="B2" s="8">
        <v>45150</v>
      </c>
      <c r="C2" s="80" t="s">
        <v>117</v>
      </c>
      <c r="D2" s="80" t="s">
        <v>118</v>
      </c>
      <c r="E2" s="80">
        <v>78</v>
      </c>
      <c r="F2" s="80" t="s">
        <v>30</v>
      </c>
      <c r="G2" s="91">
        <v>45141</v>
      </c>
      <c r="H2" s="82">
        <f>DAYS360(G2,B2)</f>
        <v>9</v>
      </c>
      <c r="I2" s="80" t="s">
        <v>16</v>
      </c>
      <c r="J2" s="80">
        <v>1</v>
      </c>
      <c r="K2" s="80" t="s">
        <v>39</v>
      </c>
      <c r="L2" s="76" t="s">
        <v>41</v>
      </c>
      <c r="M2" s="80"/>
      <c r="N2" s="80" t="s">
        <v>27</v>
      </c>
      <c r="O2" s="80"/>
      <c r="P2" s="80"/>
      <c r="Q2" s="80" t="s">
        <v>119</v>
      </c>
      <c r="R2" s="76" t="s">
        <v>19</v>
      </c>
      <c r="S2" s="6"/>
      <c r="T2" s="6"/>
    </row>
    <row r="3" spans="1:20" ht="15.75" x14ac:dyDescent="0.25">
      <c r="A3" s="9">
        <v>2</v>
      </c>
      <c r="B3" s="8">
        <v>45150</v>
      </c>
      <c r="C3" s="80" t="s">
        <v>117</v>
      </c>
      <c r="D3" s="80" t="s">
        <v>118</v>
      </c>
      <c r="E3" s="80">
        <v>78</v>
      </c>
      <c r="F3" s="80" t="s">
        <v>30</v>
      </c>
      <c r="G3" s="91">
        <v>45141</v>
      </c>
      <c r="H3" s="82">
        <f t="shared" ref="H3:H22" si="0">DAYS360(G3,B3)</f>
        <v>9</v>
      </c>
      <c r="I3" s="80" t="s">
        <v>16</v>
      </c>
      <c r="J3" s="80">
        <v>1</v>
      </c>
      <c r="K3" s="80" t="s">
        <v>39</v>
      </c>
      <c r="L3" s="76" t="s">
        <v>41</v>
      </c>
      <c r="M3" s="80"/>
      <c r="N3" s="80"/>
      <c r="O3" s="80" t="s">
        <v>25</v>
      </c>
      <c r="P3" s="80"/>
      <c r="Q3" s="80" t="s">
        <v>119</v>
      </c>
      <c r="R3" s="76" t="s">
        <v>19</v>
      </c>
      <c r="S3" s="6"/>
      <c r="T3" s="6"/>
    </row>
    <row r="4" spans="1:20" ht="15.75" x14ac:dyDescent="0.25">
      <c r="A4" s="9">
        <v>3</v>
      </c>
      <c r="B4" s="8">
        <v>45150</v>
      </c>
      <c r="C4" s="80" t="s">
        <v>137</v>
      </c>
      <c r="D4" s="80" t="s">
        <v>139</v>
      </c>
      <c r="E4" s="80">
        <v>49</v>
      </c>
      <c r="F4" s="80" t="s">
        <v>30</v>
      </c>
      <c r="G4" s="91">
        <v>45145</v>
      </c>
      <c r="H4" s="82">
        <f t="shared" si="0"/>
        <v>5</v>
      </c>
      <c r="I4" s="80" t="s">
        <v>127</v>
      </c>
      <c r="J4" s="80">
        <v>1</v>
      </c>
      <c r="K4" s="80" t="s">
        <v>39</v>
      </c>
      <c r="L4" s="76" t="s">
        <v>41</v>
      </c>
      <c r="M4" s="80" t="s">
        <v>44</v>
      </c>
      <c r="N4" s="80"/>
      <c r="O4" s="80"/>
      <c r="P4" s="80"/>
      <c r="Q4" s="80" t="s">
        <v>140</v>
      </c>
      <c r="R4" s="76" t="s">
        <v>19</v>
      </c>
      <c r="S4" s="6"/>
      <c r="T4" s="6"/>
    </row>
    <row r="5" spans="1:20" ht="15.75" x14ac:dyDescent="0.25">
      <c r="A5" s="9">
        <v>4</v>
      </c>
      <c r="B5" s="8">
        <v>45150</v>
      </c>
      <c r="C5" s="80" t="s">
        <v>137</v>
      </c>
      <c r="D5" s="80" t="s">
        <v>139</v>
      </c>
      <c r="E5" s="80">
        <v>49</v>
      </c>
      <c r="F5" s="80" t="s">
        <v>30</v>
      </c>
      <c r="G5" s="91">
        <v>45145</v>
      </c>
      <c r="H5" s="82">
        <f t="shared" si="0"/>
        <v>5</v>
      </c>
      <c r="I5" s="80" t="s">
        <v>127</v>
      </c>
      <c r="J5" s="80">
        <v>1</v>
      </c>
      <c r="K5" s="80" t="s">
        <v>39</v>
      </c>
      <c r="L5" s="76" t="s">
        <v>41</v>
      </c>
      <c r="M5" s="80"/>
      <c r="N5" s="80"/>
      <c r="O5" s="80" t="s">
        <v>69</v>
      </c>
      <c r="P5" s="80"/>
      <c r="Q5" s="80" t="s">
        <v>140</v>
      </c>
      <c r="R5" s="76" t="s">
        <v>19</v>
      </c>
      <c r="S5" s="6"/>
      <c r="T5" s="6"/>
    </row>
    <row r="6" spans="1:20" ht="15.75" x14ac:dyDescent="0.25">
      <c r="A6" s="9">
        <v>5</v>
      </c>
      <c r="B6" s="8">
        <v>45150</v>
      </c>
      <c r="C6" s="80" t="s">
        <v>121</v>
      </c>
      <c r="D6" s="80" t="s">
        <v>123</v>
      </c>
      <c r="E6" s="80">
        <v>82</v>
      </c>
      <c r="F6" s="80" t="s">
        <v>30</v>
      </c>
      <c r="G6" s="91">
        <v>45142</v>
      </c>
      <c r="H6" s="82">
        <f t="shared" si="0"/>
        <v>8</v>
      </c>
      <c r="I6" s="80" t="s">
        <v>127</v>
      </c>
      <c r="J6" s="80">
        <v>1</v>
      </c>
      <c r="K6" s="80" t="s">
        <v>39</v>
      </c>
      <c r="L6" s="76" t="s">
        <v>41</v>
      </c>
      <c r="M6" s="80" t="s">
        <v>32</v>
      </c>
      <c r="N6" s="80"/>
      <c r="O6" s="80"/>
      <c r="P6" s="80"/>
      <c r="Q6" s="80" t="s">
        <v>129</v>
      </c>
      <c r="R6" s="76" t="s">
        <v>19</v>
      </c>
      <c r="S6" s="6"/>
      <c r="T6" s="6"/>
    </row>
    <row r="7" spans="1:20" ht="15.75" x14ac:dyDescent="0.25">
      <c r="A7" s="9">
        <v>6</v>
      </c>
      <c r="B7" s="8">
        <v>45150</v>
      </c>
      <c r="C7" s="80" t="s">
        <v>156</v>
      </c>
      <c r="D7" s="80" t="s">
        <v>157</v>
      </c>
      <c r="E7" s="80">
        <v>92</v>
      </c>
      <c r="F7" s="80" t="s">
        <v>30</v>
      </c>
      <c r="G7" s="91">
        <v>45148</v>
      </c>
      <c r="H7" s="82">
        <f t="shared" si="0"/>
        <v>2</v>
      </c>
      <c r="I7" s="80" t="s">
        <v>22</v>
      </c>
      <c r="J7" s="80">
        <v>1</v>
      </c>
      <c r="K7" s="80" t="s">
        <v>17</v>
      </c>
      <c r="L7" s="76" t="s">
        <v>41</v>
      </c>
      <c r="M7" s="80"/>
      <c r="N7" s="80"/>
      <c r="O7" s="80"/>
      <c r="P7" s="80" t="s">
        <v>69</v>
      </c>
      <c r="Q7" s="80" t="s">
        <v>158</v>
      </c>
      <c r="R7" s="80" t="s">
        <v>19</v>
      </c>
      <c r="S7" s="6"/>
      <c r="T7" s="6"/>
    </row>
    <row r="8" spans="1:20" ht="15.75" x14ac:dyDescent="0.25">
      <c r="A8" s="9">
        <v>7</v>
      </c>
      <c r="B8" s="8">
        <v>45150</v>
      </c>
      <c r="C8" s="80" t="s">
        <v>156</v>
      </c>
      <c r="D8" s="80" t="s">
        <v>157</v>
      </c>
      <c r="E8" s="80">
        <v>92</v>
      </c>
      <c r="F8" s="80" t="s">
        <v>30</v>
      </c>
      <c r="G8" s="91">
        <v>45148</v>
      </c>
      <c r="H8" s="82">
        <f t="shared" si="0"/>
        <v>2</v>
      </c>
      <c r="I8" s="80" t="s">
        <v>22</v>
      </c>
      <c r="J8" s="80">
        <v>1</v>
      </c>
      <c r="K8" s="80" t="s">
        <v>17</v>
      </c>
      <c r="L8" s="76" t="s">
        <v>41</v>
      </c>
      <c r="M8" s="80"/>
      <c r="N8" s="80"/>
      <c r="O8" s="80"/>
      <c r="P8" s="80" t="s">
        <v>69</v>
      </c>
      <c r="Q8" s="80" t="s">
        <v>158</v>
      </c>
      <c r="R8" s="80" t="s">
        <v>19</v>
      </c>
      <c r="S8" s="6"/>
      <c r="T8" s="6"/>
    </row>
    <row r="9" spans="1:20" ht="15.75" x14ac:dyDescent="0.25">
      <c r="A9" s="9">
        <v>8</v>
      </c>
      <c r="B9" s="8">
        <v>45150</v>
      </c>
      <c r="C9" s="16" t="s">
        <v>103</v>
      </c>
      <c r="D9" s="80" t="s">
        <v>104</v>
      </c>
      <c r="E9" s="80">
        <v>82</v>
      </c>
      <c r="F9" s="80" t="s">
        <v>30</v>
      </c>
      <c r="G9" s="91">
        <v>45140</v>
      </c>
      <c r="H9" s="82">
        <f t="shared" si="0"/>
        <v>10</v>
      </c>
      <c r="I9" s="80" t="s">
        <v>22</v>
      </c>
      <c r="J9" s="80">
        <v>0.75</v>
      </c>
      <c r="K9" s="80" t="s">
        <v>17</v>
      </c>
      <c r="L9" s="76" t="s">
        <v>41</v>
      </c>
      <c r="M9" s="80" t="s">
        <v>9</v>
      </c>
      <c r="N9" s="80"/>
      <c r="O9" s="80"/>
      <c r="P9" s="80"/>
      <c r="Q9" s="80" t="s">
        <v>105</v>
      </c>
      <c r="R9" s="76" t="s">
        <v>19</v>
      </c>
      <c r="S9" s="6"/>
      <c r="T9" s="6"/>
    </row>
    <row r="10" spans="1:20" ht="15.75" x14ac:dyDescent="0.25">
      <c r="A10" s="9">
        <v>9</v>
      </c>
      <c r="B10" s="8">
        <v>45150</v>
      </c>
      <c r="C10" s="16" t="s">
        <v>103</v>
      </c>
      <c r="D10" s="80" t="s">
        <v>104</v>
      </c>
      <c r="E10" s="80">
        <v>82</v>
      </c>
      <c r="F10" s="80" t="s">
        <v>30</v>
      </c>
      <c r="G10" s="91">
        <v>45140</v>
      </c>
      <c r="H10" s="82">
        <f t="shared" si="0"/>
        <v>10</v>
      </c>
      <c r="I10" s="80" t="s">
        <v>22</v>
      </c>
      <c r="J10" s="80">
        <v>0.75</v>
      </c>
      <c r="K10" s="80" t="s">
        <v>17</v>
      </c>
      <c r="L10" s="76" t="s">
        <v>41</v>
      </c>
      <c r="M10" s="80" t="s">
        <v>9</v>
      </c>
      <c r="N10" s="80"/>
      <c r="O10" s="80"/>
      <c r="P10" s="80"/>
      <c r="Q10" s="80" t="s">
        <v>105</v>
      </c>
      <c r="R10" s="76" t="s">
        <v>19</v>
      </c>
      <c r="S10" s="6"/>
      <c r="T10" s="6"/>
    </row>
    <row r="11" spans="1:20" ht="15.75" x14ac:dyDescent="0.25">
      <c r="A11" s="9">
        <v>10</v>
      </c>
      <c r="B11" s="8">
        <v>45150</v>
      </c>
      <c r="C11" s="80" t="s">
        <v>113</v>
      </c>
      <c r="D11" s="80" t="s">
        <v>115</v>
      </c>
      <c r="E11" s="80">
        <v>60</v>
      </c>
      <c r="F11" s="80" t="s">
        <v>30</v>
      </c>
      <c r="G11" s="91">
        <v>45141</v>
      </c>
      <c r="H11" s="82">
        <f t="shared" si="0"/>
        <v>9</v>
      </c>
      <c r="I11" s="80" t="s">
        <v>26</v>
      </c>
      <c r="J11" s="80">
        <v>1</v>
      </c>
      <c r="K11" s="80" t="s">
        <v>17</v>
      </c>
      <c r="L11" s="76" t="s">
        <v>41</v>
      </c>
      <c r="M11" s="80"/>
      <c r="N11" s="80" t="s">
        <v>27</v>
      </c>
      <c r="O11" s="80"/>
      <c r="P11" s="80"/>
      <c r="Q11" s="80" t="s">
        <v>116</v>
      </c>
      <c r="R11" s="76" t="s">
        <v>19</v>
      </c>
      <c r="S11" s="6"/>
      <c r="T11" s="6"/>
    </row>
    <row r="12" spans="1:20" ht="15.75" x14ac:dyDescent="0.25">
      <c r="A12" s="9">
        <v>11</v>
      </c>
      <c r="B12" s="8">
        <v>45150</v>
      </c>
      <c r="C12" s="80" t="s">
        <v>136</v>
      </c>
      <c r="D12" s="80" t="s">
        <v>138</v>
      </c>
      <c r="E12" s="80">
        <v>29</v>
      </c>
      <c r="F12" s="80" t="s">
        <v>30</v>
      </c>
      <c r="G12" s="91">
        <v>45145</v>
      </c>
      <c r="H12" s="82">
        <f t="shared" si="0"/>
        <v>5</v>
      </c>
      <c r="I12" s="80" t="s">
        <v>22</v>
      </c>
      <c r="J12" s="80">
        <v>0.75</v>
      </c>
      <c r="K12" s="80" t="s">
        <v>17</v>
      </c>
      <c r="L12" s="76" t="s">
        <v>41</v>
      </c>
      <c r="M12" s="80"/>
      <c r="N12" s="80"/>
      <c r="O12" s="80" t="s">
        <v>25</v>
      </c>
      <c r="P12" s="80"/>
      <c r="Q12" s="80" t="s">
        <v>94</v>
      </c>
      <c r="R12" s="76" t="s">
        <v>19</v>
      </c>
      <c r="S12" s="6"/>
      <c r="T12" s="6"/>
    </row>
    <row r="13" spans="1:20" ht="15.75" x14ac:dyDescent="0.25">
      <c r="A13" s="9">
        <v>12</v>
      </c>
      <c r="B13" s="8">
        <v>45150</v>
      </c>
      <c r="C13" s="80" t="s">
        <v>152</v>
      </c>
      <c r="D13" s="80" t="s">
        <v>153</v>
      </c>
      <c r="E13" s="80">
        <v>60</v>
      </c>
      <c r="F13" s="80" t="s">
        <v>30</v>
      </c>
      <c r="G13" s="91">
        <v>45147</v>
      </c>
      <c r="H13" s="82">
        <f t="shared" si="0"/>
        <v>3</v>
      </c>
      <c r="I13" s="80" t="s">
        <v>22</v>
      </c>
      <c r="J13" s="80">
        <v>1</v>
      </c>
      <c r="K13" s="80" t="s">
        <v>39</v>
      </c>
      <c r="L13" s="76" t="s">
        <v>41</v>
      </c>
      <c r="M13" s="80"/>
      <c r="N13" s="80" t="s">
        <v>27</v>
      </c>
      <c r="O13" s="80"/>
      <c r="P13" s="80"/>
      <c r="Q13" s="80" t="s">
        <v>76</v>
      </c>
      <c r="R13" s="80" t="s">
        <v>19</v>
      </c>
      <c r="S13" s="6"/>
      <c r="T13" s="6"/>
    </row>
    <row r="14" spans="1:20" ht="15.75" x14ac:dyDescent="0.25">
      <c r="A14" s="9">
        <v>13</v>
      </c>
      <c r="B14" s="8">
        <v>45150</v>
      </c>
      <c r="C14" s="80" t="s">
        <v>83</v>
      </c>
      <c r="D14" s="80" t="s">
        <v>84</v>
      </c>
      <c r="E14" s="80">
        <v>81</v>
      </c>
      <c r="F14" s="80" t="s">
        <v>30</v>
      </c>
      <c r="G14" s="91">
        <v>45129</v>
      </c>
      <c r="H14" s="82">
        <f t="shared" si="0"/>
        <v>20</v>
      </c>
      <c r="I14" s="80" t="s">
        <v>26</v>
      </c>
      <c r="J14" s="80">
        <v>1</v>
      </c>
      <c r="K14" s="80" t="s">
        <v>17</v>
      </c>
      <c r="L14" s="76" t="s">
        <v>41</v>
      </c>
      <c r="M14" s="80"/>
      <c r="N14" s="80" t="s">
        <v>27</v>
      </c>
      <c r="O14" s="80"/>
      <c r="P14" s="80"/>
      <c r="Q14" s="80" t="s">
        <v>85</v>
      </c>
      <c r="R14" s="76" t="s">
        <v>19</v>
      </c>
      <c r="S14" s="6"/>
      <c r="T14" s="6"/>
    </row>
    <row r="15" spans="1:20" ht="15.75" x14ac:dyDescent="0.25">
      <c r="A15" s="9">
        <v>14</v>
      </c>
      <c r="B15" s="8">
        <v>45150</v>
      </c>
      <c r="C15" s="77" t="s">
        <v>47</v>
      </c>
      <c r="D15" s="77" t="s">
        <v>48</v>
      </c>
      <c r="E15" s="77">
        <v>73</v>
      </c>
      <c r="F15" s="80" t="s">
        <v>30</v>
      </c>
      <c r="G15" s="95">
        <v>45117</v>
      </c>
      <c r="H15" s="82">
        <f t="shared" si="0"/>
        <v>32</v>
      </c>
      <c r="I15" s="77" t="s">
        <v>16</v>
      </c>
      <c r="J15" s="77">
        <v>1.5</v>
      </c>
      <c r="K15" s="77" t="s">
        <v>17</v>
      </c>
      <c r="L15" s="76" t="s">
        <v>41</v>
      </c>
      <c r="M15" s="77" t="s">
        <v>32</v>
      </c>
      <c r="N15" s="77"/>
      <c r="O15" s="77"/>
      <c r="P15" s="77"/>
      <c r="Q15" s="77" t="s">
        <v>49</v>
      </c>
      <c r="R15" s="76" t="s">
        <v>19</v>
      </c>
      <c r="S15" s="6"/>
      <c r="T15" s="6"/>
    </row>
    <row r="16" spans="1:20" ht="15.75" x14ac:dyDescent="0.25">
      <c r="A16" s="9">
        <v>15</v>
      </c>
      <c r="B16" s="8">
        <v>45150</v>
      </c>
      <c r="C16" s="80" t="s">
        <v>125</v>
      </c>
      <c r="D16" s="80" t="s">
        <v>126</v>
      </c>
      <c r="E16" s="80">
        <v>75</v>
      </c>
      <c r="F16" s="80" t="s">
        <v>30</v>
      </c>
      <c r="G16" s="91">
        <v>45142</v>
      </c>
      <c r="H16" s="82">
        <f t="shared" si="0"/>
        <v>8</v>
      </c>
      <c r="I16" s="80" t="s">
        <v>24</v>
      </c>
      <c r="J16" s="80">
        <v>1</v>
      </c>
      <c r="K16" s="80" t="s">
        <v>17</v>
      </c>
      <c r="L16" s="76" t="s">
        <v>41</v>
      </c>
      <c r="M16" s="80"/>
      <c r="N16" s="80" t="s">
        <v>46</v>
      </c>
      <c r="O16" s="80"/>
      <c r="P16" s="80"/>
      <c r="Q16" s="80" t="s">
        <v>131</v>
      </c>
      <c r="R16" s="76" t="s">
        <v>19</v>
      </c>
      <c r="S16" s="17"/>
      <c r="T16" s="6"/>
    </row>
    <row r="17" spans="1:20" ht="15.75" x14ac:dyDescent="0.25">
      <c r="A17" s="9">
        <v>16</v>
      </c>
      <c r="B17" s="8">
        <v>45150</v>
      </c>
      <c r="C17" s="80" t="s">
        <v>149</v>
      </c>
      <c r="D17" s="80" t="s">
        <v>150</v>
      </c>
      <c r="E17" s="80">
        <v>73</v>
      </c>
      <c r="F17" s="80" t="s">
        <v>30</v>
      </c>
      <c r="G17" s="91">
        <v>45146</v>
      </c>
      <c r="H17" s="82">
        <f t="shared" si="0"/>
        <v>4</v>
      </c>
      <c r="I17" s="80" t="s">
        <v>22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151</v>
      </c>
      <c r="R17" s="80" t="s">
        <v>19</v>
      </c>
      <c r="S17" s="6"/>
      <c r="T17" s="6"/>
    </row>
    <row r="18" spans="1:20" ht="15.75" x14ac:dyDescent="0.25">
      <c r="A18" s="9">
        <v>17</v>
      </c>
      <c r="B18" s="8">
        <v>45150</v>
      </c>
      <c r="C18" s="80" t="s">
        <v>122</v>
      </c>
      <c r="D18" s="80" t="s">
        <v>124</v>
      </c>
      <c r="E18" s="80">
        <v>71</v>
      </c>
      <c r="F18" s="80" t="s">
        <v>30</v>
      </c>
      <c r="G18" s="91">
        <v>45142</v>
      </c>
      <c r="H18" s="82">
        <f t="shared" si="0"/>
        <v>8</v>
      </c>
      <c r="I18" s="80" t="s">
        <v>24</v>
      </c>
      <c r="J18" s="80">
        <v>1</v>
      </c>
      <c r="K18" s="80" t="s">
        <v>17</v>
      </c>
      <c r="L18" s="76" t="s">
        <v>41</v>
      </c>
      <c r="M18" s="80" t="s">
        <v>27</v>
      </c>
      <c r="N18" s="80"/>
      <c r="O18" s="80"/>
      <c r="P18" s="80"/>
      <c r="Q18" s="80" t="s">
        <v>130</v>
      </c>
      <c r="R18" s="76" t="s">
        <v>19</v>
      </c>
      <c r="S18" s="6"/>
      <c r="T18" s="6"/>
    </row>
    <row r="19" spans="1:20" ht="15.75" x14ac:dyDescent="0.25">
      <c r="A19" s="9">
        <v>18</v>
      </c>
      <c r="B19" s="8">
        <v>45150</v>
      </c>
      <c r="C19" s="80" t="s">
        <v>141</v>
      </c>
      <c r="D19" s="80" t="s">
        <v>142</v>
      </c>
      <c r="E19" s="80">
        <v>74</v>
      </c>
      <c r="F19" s="80" t="s">
        <v>30</v>
      </c>
      <c r="G19" s="91">
        <v>45145</v>
      </c>
      <c r="H19" s="82">
        <f t="shared" si="0"/>
        <v>5</v>
      </c>
      <c r="I19" s="80" t="s">
        <v>26</v>
      </c>
      <c r="J19" s="80">
        <v>1</v>
      </c>
      <c r="K19" s="80" t="s">
        <v>39</v>
      </c>
      <c r="L19" s="76" t="s">
        <v>41</v>
      </c>
      <c r="M19" s="80"/>
      <c r="N19" s="80"/>
      <c r="O19" s="80" t="s">
        <v>25</v>
      </c>
      <c r="P19" s="80"/>
      <c r="Q19" s="80" t="s">
        <v>74</v>
      </c>
      <c r="R19" s="76" t="s">
        <v>19</v>
      </c>
      <c r="S19" s="6"/>
      <c r="T19" s="6"/>
    </row>
    <row r="20" spans="1:20" ht="15.75" x14ac:dyDescent="0.25">
      <c r="A20" s="9">
        <v>19</v>
      </c>
      <c r="B20" s="8">
        <v>45150</v>
      </c>
      <c r="C20" s="80" t="s">
        <v>146</v>
      </c>
      <c r="D20" s="80" t="s">
        <v>147</v>
      </c>
      <c r="E20" s="80">
        <v>88</v>
      </c>
      <c r="F20" s="80" t="s">
        <v>30</v>
      </c>
      <c r="G20" s="91">
        <v>45147</v>
      </c>
      <c r="H20" s="82">
        <f t="shared" si="0"/>
        <v>3</v>
      </c>
      <c r="I20" s="80" t="s">
        <v>26</v>
      </c>
      <c r="J20" s="80">
        <v>1</v>
      </c>
      <c r="K20" s="80" t="s">
        <v>17</v>
      </c>
      <c r="L20" s="76" t="s">
        <v>41</v>
      </c>
      <c r="M20" s="80" t="s">
        <v>27</v>
      </c>
      <c r="N20" s="80"/>
      <c r="O20" s="80"/>
      <c r="P20" s="80"/>
      <c r="Q20" s="80" t="s">
        <v>148</v>
      </c>
      <c r="R20" s="80" t="s">
        <v>19</v>
      </c>
      <c r="S20" s="6"/>
      <c r="T20" s="6"/>
    </row>
    <row r="21" spans="1:20" ht="15.75" x14ac:dyDescent="0.25">
      <c r="A21" s="9">
        <v>20</v>
      </c>
      <c r="B21" s="8">
        <v>45150</v>
      </c>
      <c r="C21" s="80" t="s">
        <v>146</v>
      </c>
      <c r="D21" s="80" t="s">
        <v>147</v>
      </c>
      <c r="E21" s="80">
        <v>88</v>
      </c>
      <c r="F21" s="80" t="s">
        <v>30</v>
      </c>
      <c r="G21" s="91">
        <v>45147</v>
      </c>
      <c r="H21" s="82">
        <f t="shared" si="0"/>
        <v>3</v>
      </c>
      <c r="I21" s="80" t="s">
        <v>26</v>
      </c>
      <c r="J21" s="80">
        <v>1</v>
      </c>
      <c r="K21" s="80" t="s">
        <v>17</v>
      </c>
      <c r="L21" s="76" t="s">
        <v>41</v>
      </c>
      <c r="M21" s="80"/>
      <c r="N21" s="80" t="s">
        <v>27</v>
      </c>
      <c r="O21" s="80"/>
      <c r="P21" s="80"/>
      <c r="Q21" s="80" t="s">
        <v>148</v>
      </c>
      <c r="R21" s="80" t="s">
        <v>19</v>
      </c>
      <c r="S21" s="6"/>
      <c r="T21" s="6"/>
    </row>
    <row r="22" spans="1:20" ht="15.75" customHeight="1" x14ac:dyDescent="0.25">
      <c r="A22" s="9">
        <v>21</v>
      </c>
      <c r="B22" s="8">
        <v>45150</v>
      </c>
      <c r="C22" s="80" t="s">
        <v>154</v>
      </c>
      <c r="D22" s="80" t="s">
        <v>155</v>
      </c>
      <c r="E22" s="80">
        <v>31</v>
      </c>
      <c r="F22" s="80" t="s">
        <v>30</v>
      </c>
      <c r="G22" s="91">
        <v>45149</v>
      </c>
      <c r="H22" s="82">
        <f t="shared" si="0"/>
        <v>1</v>
      </c>
      <c r="I22" s="80" t="s">
        <v>22</v>
      </c>
      <c r="J22" s="80">
        <v>1</v>
      </c>
      <c r="K22" s="80" t="s">
        <v>17</v>
      </c>
      <c r="L22" s="76" t="s">
        <v>41</v>
      </c>
      <c r="M22" s="80"/>
      <c r="N22" s="80"/>
      <c r="O22" s="80" t="s">
        <v>25</v>
      </c>
      <c r="P22" s="80"/>
      <c r="Q22" s="80" t="s">
        <v>58</v>
      </c>
      <c r="R22" s="80" t="s">
        <v>19</v>
      </c>
      <c r="S22" s="6"/>
      <c r="T22" s="6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999"/>
  <sheetViews>
    <sheetView zoomScale="60" zoomScaleNormal="60" workbookViewId="0">
      <selection activeCell="S24" sqref="A24:S24"/>
    </sheetView>
  </sheetViews>
  <sheetFormatPr baseColWidth="10" defaultColWidth="14.42578125" defaultRowHeight="15" customHeight="1" x14ac:dyDescent="0.25"/>
  <cols>
    <col min="1" max="1" width="4.5703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11.57031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5.425781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6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1" t="s">
        <v>14</v>
      </c>
      <c r="R1" s="1" t="s">
        <v>15</v>
      </c>
      <c r="S1" s="1" t="s">
        <v>67</v>
      </c>
    </row>
    <row r="2" spans="1:19" ht="15.75" x14ac:dyDescent="0.25">
      <c r="A2" s="28">
        <v>1</v>
      </c>
      <c r="B2" s="21">
        <v>45151</v>
      </c>
      <c r="C2" s="16" t="s">
        <v>103</v>
      </c>
      <c r="D2" s="80" t="s">
        <v>104</v>
      </c>
      <c r="E2" s="80">
        <v>82</v>
      </c>
      <c r="F2" s="80"/>
      <c r="G2" s="91">
        <v>45140</v>
      </c>
      <c r="H2" s="80">
        <f>DAYS360(G2,B2)</f>
        <v>11</v>
      </c>
      <c r="I2" s="80" t="s">
        <v>22</v>
      </c>
      <c r="J2" s="80">
        <v>0.75</v>
      </c>
      <c r="K2" s="80" t="s">
        <v>17</v>
      </c>
      <c r="L2" s="76" t="s">
        <v>41</v>
      </c>
      <c r="M2" s="80" t="s">
        <v>9</v>
      </c>
      <c r="N2" s="80"/>
      <c r="O2" s="80"/>
      <c r="P2" s="80"/>
      <c r="Q2" s="80" t="s">
        <v>105</v>
      </c>
      <c r="R2" s="76" t="s">
        <v>19</v>
      </c>
      <c r="S2" s="1"/>
    </row>
    <row r="3" spans="1:19" ht="15.75" x14ac:dyDescent="0.25">
      <c r="A3" s="28">
        <v>2</v>
      </c>
      <c r="B3" s="21">
        <v>45151</v>
      </c>
      <c r="C3" s="16" t="s">
        <v>103</v>
      </c>
      <c r="D3" s="80" t="s">
        <v>104</v>
      </c>
      <c r="E3" s="80">
        <v>82</v>
      </c>
      <c r="F3" s="80"/>
      <c r="G3" s="91">
        <v>45140</v>
      </c>
      <c r="H3" s="80">
        <f t="shared" ref="H3" si="0">DAYS360(G3,B3)</f>
        <v>11</v>
      </c>
      <c r="I3" s="80" t="s">
        <v>22</v>
      </c>
      <c r="J3" s="80">
        <v>0.75</v>
      </c>
      <c r="K3" s="80" t="s">
        <v>17</v>
      </c>
      <c r="L3" s="76" t="s">
        <v>41</v>
      </c>
      <c r="M3" s="80" t="s">
        <v>9</v>
      </c>
      <c r="N3" s="80"/>
      <c r="O3" s="80"/>
      <c r="P3" s="80"/>
      <c r="Q3" s="80" t="s">
        <v>105</v>
      </c>
      <c r="R3" s="76" t="s">
        <v>19</v>
      </c>
      <c r="S3" s="1"/>
    </row>
    <row r="4" spans="1:19" ht="15.75" x14ac:dyDescent="0.25">
      <c r="A4" s="28">
        <v>3</v>
      </c>
      <c r="B4" s="21">
        <v>45151</v>
      </c>
      <c r="C4" s="16" t="s">
        <v>103</v>
      </c>
      <c r="D4" s="80" t="s">
        <v>104</v>
      </c>
      <c r="E4" s="80">
        <v>82</v>
      </c>
      <c r="F4" s="80"/>
      <c r="G4" s="91">
        <v>45140</v>
      </c>
      <c r="H4" s="80">
        <f t="shared" ref="H4:H24" si="1">DAYS360(G4,B4)</f>
        <v>11</v>
      </c>
      <c r="I4" s="80" t="s">
        <v>22</v>
      </c>
      <c r="J4" s="80">
        <v>1</v>
      </c>
      <c r="K4" s="80" t="s">
        <v>17</v>
      </c>
      <c r="L4" s="76" t="s">
        <v>41</v>
      </c>
      <c r="M4" s="80" t="s">
        <v>27</v>
      </c>
      <c r="N4" s="80"/>
      <c r="O4" s="80"/>
      <c r="P4" s="80"/>
      <c r="Q4" s="80" t="s">
        <v>105</v>
      </c>
      <c r="R4" s="76" t="s">
        <v>19</v>
      </c>
      <c r="S4" s="55"/>
    </row>
    <row r="5" spans="1:19" ht="15.75" x14ac:dyDescent="0.25">
      <c r="A5" s="28">
        <v>4</v>
      </c>
      <c r="B5" s="21">
        <v>45151</v>
      </c>
      <c r="C5" s="80" t="s">
        <v>117</v>
      </c>
      <c r="D5" s="80" t="s">
        <v>118</v>
      </c>
      <c r="E5" s="80">
        <v>78</v>
      </c>
      <c r="F5" s="80"/>
      <c r="G5" s="91">
        <v>45141</v>
      </c>
      <c r="H5" s="80">
        <f t="shared" si="1"/>
        <v>10</v>
      </c>
      <c r="I5" s="80" t="s">
        <v>16</v>
      </c>
      <c r="J5" s="80">
        <v>1</v>
      </c>
      <c r="K5" s="80" t="s">
        <v>39</v>
      </c>
      <c r="L5" s="76" t="s">
        <v>41</v>
      </c>
      <c r="M5" s="80"/>
      <c r="N5" s="80"/>
      <c r="O5" s="80" t="s">
        <v>25</v>
      </c>
      <c r="P5" s="80"/>
      <c r="Q5" s="80" t="s">
        <v>119</v>
      </c>
      <c r="R5" s="76" t="s">
        <v>19</v>
      </c>
      <c r="S5" s="55"/>
    </row>
    <row r="6" spans="1:19" ht="15.75" x14ac:dyDescent="0.25">
      <c r="A6" s="28">
        <v>5</v>
      </c>
      <c r="B6" s="21">
        <v>45151</v>
      </c>
      <c r="C6" s="80" t="s">
        <v>117</v>
      </c>
      <c r="D6" s="80" t="s">
        <v>118</v>
      </c>
      <c r="E6" s="80">
        <v>78</v>
      </c>
      <c r="F6" s="80"/>
      <c r="G6" s="91">
        <v>45141</v>
      </c>
      <c r="H6" s="80">
        <f t="shared" si="1"/>
        <v>10</v>
      </c>
      <c r="I6" s="80" t="s">
        <v>16</v>
      </c>
      <c r="J6" s="80">
        <v>1</v>
      </c>
      <c r="K6" s="80" t="s">
        <v>39</v>
      </c>
      <c r="L6" s="76" t="s">
        <v>41</v>
      </c>
      <c r="M6" s="80"/>
      <c r="N6" s="80" t="s">
        <v>27</v>
      </c>
      <c r="O6" s="80"/>
      <c r="P6" s="80"/>
      <c r="Q6" s="80" t="s">
        <v>119</v>
      </c>
      <c r="R6" s="76" t="s">
        <v>19</v>
      </c>
      <c r="S6" s="55"/>
    </row>
    <row r="7" spans="1:19" ht="15.75" x14ac:dyDescent="0.25">
      <c r="A7" s="28">
        <v>6</v>
      </c>
      <c r="B7" s="21">
        <v>45151</v>
      </c>
      <c r="C7" s="80" t="s">
        <v>137</v>
      </c>
      <c r="D7" s="80" t="s">
        <v>139</v>
      </c>
      <c r="E7" s="80">
        <v>49</v>
      </c>
      <c r="F7" s="80"/>
      <c r="G7" s="91">
        <v>45145</v>
      </c>
      <c r="H7" s="80">
        <f t="shared" si="1"/>
        <v>6</v>
      </c>
      <c r="I7" s="80" t="s">
        <v>127</v>
      </c>
      <c r="J7" s="80">
        <v>1</v>
      </c>
      <c r="K7" s="80" t="s">
        <v>39</v>
      </c>
      <c r="L7" s="76" t="s">
        <v>41</v>
      </c>
      <c r="M7" s="80" t="s">
        <v>44</v>
      </c>
      <c r="N7" s="80"/>
      <c r="O7" s="80"/>
      <c r="P7" s="80"/>
      <c r="Q7" s="80" t="s">
        <v>140</v>
      </c>
      <c r="R7" s="76" t="s">
        <v>19</v>
      </c>
      <c r="S7" s="55"/>
    </row>
    <row r="8" spans="1:19" ht="15.75" x14ac:dyDescent="0.25">
      <c r="A8" s="28">
        <v>7</v>
      </c>
      <c r="B8" s="21">
        <v>45151</v>
      </c>
      <c r="C8" s="80" t="s">
        <v>137</v>
      </c>
      <c r="D8" s="80" t="s">
        <v>139</v>
      </c>
      <c r="E8" s="80">
        <v>49</v>
      </c>
      <c r="F8" s="80"/>
      <c r="G8" s="91">
        <v>45145</v>
      </c>
      <c r="H8" s="80">
        <f t="shared" ref="H8" si="2">DAYS360(G8,B8)</f>
        <v>6</v>
      </c>
      <c r="I8" s="80" t="s">
        <v>127</v>
      </c>
      <c r="J8" s="80">
        <v>1</v>
      </c>
      <c r="K8" s="80" t="s">
        <v>39</v>
      </c>
      <c r="L8" s="76" t="s">
        <v>41</v>
      </c>
      <c r="M8" s="80"/>
      <c r="N8" s="80"/>
      <c r="O8" s="80" t="s">
        <v>69</v>
      </c>
      <c r="P8" s="80"/>
      <c r="Q8" s="80" t="s">
        <v>140</v>
      </c>
      <c r="R8" s="76" t="s">
        <v>19</v>
      </c>
      <c r="S8" s="55"/>
    </row>
    <row r="9" spans="1:19" ht="15.75" x14ac:dyDescent="0.25">
      <c r="A9" s="28">
        <v>8</v>
      </c>
      <c r="B9" s="21">
        <v>45151</v>
      </c>
      <c r="C9" s="80" t="s">
        <v>137</v>
      </c>
      <c r="D9" s="80" t="s">
        <v>139</v>
      </c>
      <c r="E9" s="80">
        <v>49</v>
      </c>
      <c r="F9" s="80"/>
      <c r="G9" s="91">
        <v>45145</v>
      </c>
      <c r="H9" s="80">
        <f t="shared" si="1"/>
        <v>6</v>
      </c>
      <c r="I9" s="80" t="s">
        <v>127</v>
      </c>
      <c r="J9" s="80">
        <v>1</v>
      </c>
      <c r="K9" s="80" t="s">
        <v>39</v>
      </c>
      <c r="L9" s="76" t="s">
        <v>41</v>
      </c>
      <c r="M9" s="80"/>
      <c r="N9" s="80"/>
      <c r="O9" s="80" t="s">
        <v>69</v>
      </c>
      <c r="P9" s="80"/>
      <c r="Q9" s="80" t="s">
        <v>140</v>
      </c>
      <c r="R9" s="76" t="s">
        <v>19</v>
      </c>
      <c r="S9" s="55"/>
    </row>
    <row r="10" spans="1:19" ht="15.75" x14ac:dyDescent="0.25">
      <c r="A10" s="28">
        <v>9</v>
      </c>
      <c r="B10" s="21">
        <v>45151</v>
      </c>
      <c r="C10" s="16" t="s">
        <v>102</v>
      </c>
      <c r="D10" s="80" t="s">
        <v>106</v>
      </c>
      <c r="E10" s="80">
        <v>68</v>
      </c>
      <c r="F10" s="80"/>
      <c r="G10" s="91">
        <v>45140</v>
      </c>
      <c r="H10" s="80">
        <f t="shared" si="1"/>
        <v>11</v>
      </c>
      <c r="I10" s="80" t="s">
        <v>22</v>
      </c>
      <c r="J10" s="80">
        <v>1</v>
      </c>
      <c r="K10" s="80" t="s">
        <v>17</v>
      </c>
      <c r="L10" s="76" t="s">
        <v>41</v>
      </c>
      <c r="M10" s="80" t="s">
        <v>27</v>
      </c>
      <c r="N10" s="80"/>
      <c r="O10" s="80"/>
      <c r="P10" s="80"/>
      <c r="Q10" s="80" t="s">
        <v>107</v>
      </c>
      <c r="R10" s="76" t="s">
        <v>19</v>
      </c>
      <c r="S10" s="55"/>
    </row>
    <row r="11" spans="1:19" ht="15.75" x14ac:dyDescent="0.25">
      <c r="A11" s="28">
        <v>10</v>
      </c>
      <c r="B11" s="21">
        <v>45151</v>
      </c>
      <c r="C11" s="80" t="s">
        <v>156</v>
      </c>
      <c r="D11" s="80" t="s">
        <v>157</v>
      </c>
      <c r="E11" s="80">
        <v>92</v>
      </c>
      <c r="F11" s="80"/>
      <c r="G11" s="91">
        <v>45148</v>
      </c>
      <c r="H11" s="80">
        <f t="shared" si="1"/>
        <v>3</v>
      </c>
      <c r="I11" s="80" t="s">
        <v>22</v>
      </c>
      <c r="J11" s="80">
        <v>1</v>
      </c>
      <c r="K11" s="80" t="s">
        <v>17</v>
      </c>
      <c r="L11" s="76" t="s">
        <v>41</v>
      </c>
      <c r="M11" s="80"/>
      <c r="N11" s="80"/>
      <c r="O11" s="80"/>
      <c r="P11" s="80" t="s">
        <v>69</v>
      </c>
      <c r="Q11" s="80" t="s">
        <v>158</v>
      </c>
      <c r="R11" s="80" t="s">
        <v>19</v>
      </c>
      <c r="S11" s="55"/>
    </row>
    <row r="12" spans="1:19" ht="15.75" x14ac:dyDescent="0.25">
      <c r="A12" s="28">
        <v>11</v>
      </c>
      <c r="B12" s="21">
        <v>45151</v>
      </c>
      <c r="C12" s="80" t="s">
        <v>156</v>
      </c>
      <c r="D12" s="80" t="s">
        <v>157</v>
      </c>
      <c r="E12" s="80">
        <v>92</v>
      </c>
      <c r="F12" s="80"/>
      <c r="G12" s="91">
        <v>45148</v>
      </c>
      <c r="H12" s="80">
        <f t="shared" si="1"/>
        <v>3</v>
      </c>
      <c r="I12" s="80" t="s">
        <v>22</v>
      </c>
      <c r="J12" s="80">
        <v>1</v>
      </c>
      <c r="K12" s="80" t="s">
        <v>17</v>
      </c>
      <c r="L12" s="76" t="s">
        <v>41</v>
      </c>
      <c r="M12" s="80"/>
      <c r="N12" s="80"/>
      <c r="O12" s="80"/>
      <c r="P12" s="80" t="s">
        <v>69</v>
      </c>
      <c r="Q12" s="80" t="s">
        <v>158</v>
      </c>
      <c r="R12" s="80" t="s">
        <v>19</v>
      </c>
      <c r="S12" s="55"/>
    </row>
    <row r="13" spans="1:19" ht="15.75" x14ac:dyDescent="0.25">
      <c r="A13" s="28">
        <v>12</v>
      </c>
      <c r="B13" s="21">
        <v>45151</v>
      </c>
      <c r="C13" s="80" t="s">
        <v>98</v>
      </c>
      <c r="D13" s="80" t="s">
        <v>99</v>
      </c>
      <c r="E13" s="80">
        <v>85</v>
      </c>
      <c r="F13" s="80"/>
      <c r="G13" s="91">
        <v>45138</v>
      </c>
      <c r="H13" s="80">
        <f t="shared" si="1"/>
        <v>13</v>
      </c>
      <c r="I13" s="80" t="s">
        <v>16</v>
      </c>
      <c r="J13" s="80">
        <v>1</v>
      </c>
      <c r="K13" s="80" t="s">
        <v>17</v>
      </c>
      <c r="L13" s="76" t="s">
        <v>41</v>
      </c>
      <c r="M13" s="80" t="s">
        <v>44</v>
      </c>
      <c r="N13" s="80"/>
      <c r="O13" s="80"/>
      <c r="P13" s="80"/>
      <c r="Q13" s="80" t="s">
        <v>101</v>
      </c>
      <c r="R13" s="76" t="s">
        <v>19</v>
      </c>
      <c r="S13" s="55"/>
    </row>
    <row r="14" spans="1:19" ht="15.75" x14ac:dyDescent="0.25">
      <c r="A14" s="28">
        <v>13</v>
      </c>
      <c r="B14" s="21">
        <v>45151</v>
      </c>
      <c r="C14" s="80" t="s">
        <v>121</v>
      </c>
      <c r="D14" s="80" t="s">
        <v>123</v>
      </c>
      <c r="E14" s="80">
        <v>82</v>
      </c>
      <c r="F14" s="80"/>
      <c r="G14" s="91">
        <v>45142</v>
      </c>
      <c r="H14" s="80">
        <f t="shared" si="1"/>
        <v>9</v>
      </c>
      <c r="I14" s="80" t="s">
        <v>127</v>
      </c>
      <c r="J14" s="80">
        <v>1</v>
      </c>
      <c r="K14" s="80" t="s">
        <v>39</v>
      </c>
      <c r="L14" s="76" t="s">
        <v>41</v>
      </c>
      <c r="M14" s="80" t="s">
        <v>32</v>
      </c>
      <c r="N14" s="80"/>
      <c r="O14" s="80"/>
      <c r="P14" s="80"/>
      <c r="Q14" s="80" t="s">
        <v>129</v>
      </c>
      <c r="R14" s="76" t="s">
        <v>19</v>
      </c>
      <c r="S14" s="55"/>
    </row>
    <row r="15" spans="1:19" ht="15.75" x14ac:dyDescent="0.25">
      <c r="A15" s="28">
        <v>14</v>
      </c>
      <c r="B15" s="21">
        <v>45151</v>
      </c>
      <c r="C15" s="80" t="s">
        <v>136</v>
      </c>
      <c r="D15" s="80" t="s">
        <v>138</v>
      </c>
      <c r="E15" s="80">
        <v>29</v>
      </c>
      <c r="F15" s="80"/>
      <c r="G15" s="91">
        <v>45145</v>
      </c>
      <c r="H15" s="80">
        <f t="shared" si="1"/>
        <v>6</v>
      </c>
      <c r="I15" s="80" t="s">
        <v>22</v>
      </c>
      <c r="J15" s="80">
        <v>0.75</v>
      </c>
      <c r="K15" s="80" t="s">
        <v>17</v>
      </c>
      <c r="L15" s="76" t="s">
        <v>41</v>
      </c>
      <c r="M15" s="80"/>
      <c r="N15" s="80"/>
      <c r="O15" s="80" t="s">
        <v>25</v>
      </c>
      <c r="P15" s="80"/>
      <c r="Q15" s="80" t="s">
        <v>94</v>
      </c>
      <c r="R15" s="76" t="s">
        <v>19</v>
      </c>
      <c r="S15" s="55"/>
    </row>
    <row r="16" spans="1:19" ht="15.75" x14ac:dyDescent="0.25">
      <c r="A16" s="28">
        <v>15</v>
      </c>
      <c r="B16" s="21">
        <v>45151</v>
      </c>
      <c r="C16" s="80" t="s">
        <v>152</v>
      </c>
      <c r="D16" s="80" t="s">
        <v>153</v>
      </c>
      <c r="E16" s="80">
        <v>60</v>
      </c>
      <c r="F16" s="80"/>
      <c r="G16" s="91">
        <v>45147</v>
      </c>
      <c r="H16" s="80">
        <f t="shared" si="1"/>
        <v>4</v>
      </c>
      <c r="I16" s="80" t="s">
        <v>22</v>
      </c>
      <c r="J16" s="80">
        <v>1</v>
      </c>
      <c r="K16" s="80" t="s">
        <v>39</v>
      </c>
      <c r="L16" s="76" t="s">
        <v>41</v>
      </c>
      <c r="M16" s="80"/>
      <c r="N16" s="80" t="s">
        <v>27</v>
      </c>
      <c r="O16" s="80"/>
      <c r="P16" s="80"/>
      <c r="Q16" s="80" t="s">
        <v>76</v>
      </c>
      <c r="R16" s="80" t="s">
        <v>19</v>
      </c>
      <c r="S16" s="55"/>
    </row>
    <row r="17" spans="1:20" ht="15.75" x14ac:dyDescent="0.25">
      <c r="A17" s="28">
        <v>16</v>
      </c>
      <c r="B17" s="21">
        <v>45151</v>
      </c>
      <c r="C17" s="80" t="s">
        <v>79</v>
      </c>
      <c r="D17" s="80" t="s">
        <v>80</v>
      </c>
      <c r="E17" s="80">
        <v>66</v>
      </c>
      <c r="F17" s="80"/>
      <c r="G17" s="91">
        <v>45128</v>
      </c>
      <c r="H17" s="80">
        <f t="shared" si="1"/>
        <v>22</v>
      </c>
      <c r="I17" s="80" t="s">
        <v>16</v>
      </c>
      <c r="J17" s="80">
        <v>1</v>
      </c>
      <c r="K17" s="80" t="s">
        <v>17</v>
      </c>
      <c r="L17" s="76" t="s">
        <v>41</v>
      </c>
      <c r="M17" s="80" t="s">
        <v>27</v>
      </c>
      <c r="N17" s="80"/>
      <c r="O17" s="80"/>
      <c r="P17" s="80"/>
      <c r="Q17" s="80" t="s">
        <v>76</v>
      </c>
      <c r="R17" s="76" t="s">
        <v>19</v>
      </c>
      <c r="S17" s="55"/>
    </row>
    <row r="18" spans="1:20" ht="15.75" x14ac:dyDescent="0.25">
      <c r="A18" s="28">
        <v>17</v>
      </c>
      <c r="B18" s="21">
        <v>45151</v>
      </c>
      <c r="C18" s="80" t="s">
        <v>95</v>
      </c>
      <c r="D18" s="80" t="s">
        <v>96</v>
      </c>
      <c r="E18" s="80">
        <v>74</v>
      </c>
      <c r="F18" s="80"/>
      <c r="G18" s="91">
        <v>45138</v>
      </c>
      <c r="H18" s="80">
        <f t="shared" si="1"/>
        <v>13</v>
      </c>
      <c r="I18" s="80" t="s">
        <v>97</v>
      </c>
      <c r="J18" s="80">
        <v>1.5</v>
      </c>
      <c r="K18" s="80" t="s">
        <v>17</v>
      </c>
      <c r="L18" s="76" t="s">
        <v>41</v>
      </c>
      <c r="M18" s="80" t="s">
        <v>44</v>
      </c>
      <c r="N18" s="80"/>
      <c r="O18" s="80"/>
      <c r="P18" s="80"/>
      <c r="Q18" s="80" t="s">
        <v>100</v>
      </c>
      <c r="R18" s="76" t="s">
        <v>19</v>
      </c>
      <c r="S18" s="55"/>
    </row>
    <row r="19" spans="1:20" ht="15.75" x14ac:dyDescent="0.25">
      <c r="A19" s="28">
        <v>18</v>
      </c>
      <c r="B19" s="21">
        <v>45151</v>
      </c>
      <c r="C19" s="80" t="s">
        <v>125</v>
      </c>
      <c r="D19" s="80" t="s">
        <v>126</v>
      </c>
      <c r="E19" s="80">
        <v>75</v>
      </c>
      <c r="F19" s="80"/>
      <c r="G19" s="91">
        <v>45142</v>
      </c>
      <c r="H19" s="80">
        <f t="shared" si="1"/>
        <v>9</v>
      </c>
      <c r="I19" s="80" t="s">
        <v>24</v>
      </c>
      <c r="J19" s="80">
        <v>1</v>
      </c>
      <c r="K19" s="80" t="s">
        <v>17</v>
      </c>
      <c r="L19" s="76" t="s">
        <v>41</v>
      </c>
      <c r="M19" s="80"/>
      <c r="N19" s="80" t="s">
        <v>46</v>
      </c>
      <c r="O19" s="80"/>
      <c r="P19" s="80"/>
      <c r="Q19" s="80" t="s">
        <v>131</v>
      </c>
      <c r="R19" s="76" t="s">
        <v>19</v>
      </c>
      <c r="S19" s="55"/>
    </row>
    <row r="20" spans="1:20" ht="15.75" x14ac:dyDescent="0.25">
      <c r="A20" s="28">
        <v>19</v>
      </c>
      <c r="B20" s="21">
        <v>45151</v>
      </c>
      <c r="C20" s="85" t="s">
        <v>42</v>
      </c>
      <c r="D20" s="86" t="s">
        <v>43</v>
      </c>
      <c r="E20" s="86">
        <v>41</v>
      </c>
      <c r="F20" s="86" t="s">
        <v>30</v>
      </c>
      <c r="G20" s="69">
        <v>45114</v>
      </c>
      <c r="H20" s="80">
        <f t="shared" si="1"/>
        <v>36</v>
      </c>
      <c r="I20" s="86" t="s">
        <v>22</v>
      </c>
      <c r="J20" s="86">
        <v>1</v>
      </c>
      <c r="K20" s="86" t="s">
        <v>39</v>
      </c>
      <c r="L20" s="76" t="s">
        <v>41</v>
      </c>
      <c r="M20" s="86" t="s">
        <v>44</v>
      </c>
      <c r="N20" s="86"/>
      <c r="O20" s="86"/>
      <c r="P20" s="86"/>
      <c r="Q20" s="86" t="s">
        <v>45</v>
      </c>
      <c r="R20" s="76" t="s">
        <v>19</v>
      </c>
      <c r="S20" s="55"/>
    </row>
    <row r="21" spans="1:20" ht="15.75" x14ac:dyDescent="0.25">
      <c r="A21" s="28">
        <v>20</v>
      </c>
      <c r="B21" s="21">
        <v>45151</v>
      </c>
      <c r="C21" s="80" t="s">
        <v>109</v>
      </c>
      <c r="D21" s="80" t="s">
        <v>110</v>
      </c>
      <c r="E21" s="80">
        <v>56</v>
      </c>
      <c r="F21" s="80"/>
      <c r="G21" s="91">
        <v>45140</v>
      </c>
      <c r="H21" s="80">
        <f t="shared" si="1"/>
        <v>11</v>
      </c>
      <c r="I21" s="80" t="s">
        <v>111</v>
      </c>
      <c r="J21" s="80">
        <v>1.5</v>
      </c>
      <c r="K21" s="80" t="s">
        <v>17</v>
      </c>
      <c r="L21" s="76" t="s">
        <v>41</v>
      </c>
      <c r="M21" s="80" t="s">
        <v>44</v>
      </c>
      <c r="N21" s="80"/>
      <c r="O21" s="80"/>
      <c r="P21" s="80"/>
      <c r="Q21" s="80" t="s">
        <v>112</v>
      </c>
      <c r="R21" s="76" t="s">
        <v>19</v>
      </c>
      <c r="S21" s="55"/>
    </row>
    <row r="22" spans="1:20" ht="15.75" x14ac:dyDescent="0.25">
      <c r="A22" s="28">
        <v>21</v>
      </c>
      <c r="B22" s="21">
        <v>45151</v>
      </c>
      <c r="C22" s="80" t="s">
        <v>149</v>
      </c>
      <c r="D22" s="80" t="s">
        <v>150</v>
      </c>
      <c r="E22" s="80">
        <v>73</v>
      </c>
      <c r="F22" s="80"/>
      <c r="G22" s="91">
        <v>45146</v>
      </c>
      <c r="H22" s="80">
        <f t="shared" si="1"/>
        <v>5</v>
      </c>
      <c r="I22" s="80" t="s">
        <v>22</v>
      </c>
      <c r="J22" s="80">
        <v>1</v>
      </c>
      <c r="K22" s="80" t="s">
        <v>39</v>
      </c>
      <c r="L22" s="76" t="s">
        <v>41</v>
      </c>
      <c r="M22" s="80"/>
      <c r="N22" s="80"/>
      <c r="O22" s="80" t="s">
        <v>25</v>
      </c>
      <c r="P22" s="80"/>
      <c r="Q22" s="80" t="s">
        <v>151</v>
      </c>
      <c r="R22" s="80" t="s">
        <v>19</v>
      </c>
      <c r="S22" s="55"/>
    </row>
    <row r="23" spans="1:20" ht="15.75" x14ac:dyDescent="0.25">
      <c r="A23" s="28">
        <v>22</v>
      </c>
      <c r="B23" s="21">
        <v>45151</v>
      </c>
      <c r="C23" s="77" t="s">
        <v>47</v>
      </c>
      <c r="D23" s="77" t="s">
        <v>48</v>
      </c>
      <c r="E23" s="77">
        <v>73</v>
      </c>
      <c r="F23" s="77"/>
      <c r="G23" s="95">
        <v>45117</v>
      </c>
      <c r="H23" s="80">
        <f t="shared" si="1"/>
        <v>33</v>
      </c>
      <c r="I23" s="77" t="s">
        <v>16</v>
      </c>
      <c r="J23" s="77">
        <v>1.5</v>
      </c>
      <c r="K23" s="77" t="s">
        <v>17</v>
      </c>
      <c r="L23" s="76" t="s">
        <v>41</v>
      </c>
      <c r="M23" s="77" t="s">
        <v>32</v>
      </c>
      <c r="N23" s="77"/>
      <c r="O23" s="77"/>
      <c r="P23" s="77"/>
      <c r="Q23" s="77" t="s">
        <v>49</v>
      </c>
      <c r="R23" s="76" t="s">
        <v>19</v>
      </c>
      <c r="S23" s="55"/>
    </row>
    <row r="24" spans="1:20" ht="15.75" customHeight="1" x14ac:dyDescent="0.25">
      <c r="A24" s="9">
        <v>23</v>
      </c>
      <c r="B24" s="8">
        <v>45150</v>
      </c>
      <c r="C24" s="80" t="s">
        <v>154</v>
      </c>
      <c r="D24" s="80" t="s">
        <v>155</v>
      </c>
      <c r="E24" s="80">
        <v>31</v>
      </c>
      <c r="F24" s="80" t="s">
        <v>30</v>
      </c>
      <c r="G24" s="91">
        <v>45149</v>
      </c>
      <c r="H24" s="82">
        <f t="shared" si="1"/>
        <v>1</v>
      </c>
      <c r="I24" s="80" t="s">
        <v>22</v>
      </c>
      <c r="J24" s="80">
        <v>1</v>
      </c>
      <c r="K24" s="80" t="s">
        <v>17</v>
      </c>
      <c r="L24" s="76" t="s">
        <v>41</v>
      </c>
      <c r="M24" s="80"/>
      <c r="N24" s="80"/>
      <c r="O24" s="80" t="s">
        <v>25</v>
      </c>
      <c r="P24" s="80"/>
      <c r="Q24" s="80" t="s">
        <v>58</v>
      </c>
      <c r="R24" s="80" t="s">
        <v>19</v>
      </c>
      <c r="S24" s="6"/>
      <c r="T24" s="6"/>
    </row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001"/>
  <sheetViews>
    <sheetView zoomScale="60" zoomScaleNormal="60" workbookViewId="0">
      <selection activeCell="J17" sqref="J17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11.42578125" customWidth="1"/>
    <col min="9" max="9" width="13.7109375" style="98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6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64">
        <v>1</v>
      </c>
      <c r="B2" s="13">
        <v>45152</v>
      </c>
      <c r="C2" s="77" t="s">
        <v>47</v>
      </c>
      <c r="D2" s="77" t="s">
        <v>48</v>
      </c>
      <c r="E2" s="77">
        <v>73</v>
      </c>
      <c r="F2" s="77" t="s">
        <v>30</v>
      </c>
      <c r="G2" s="95">
        <v>45117</v>
      </c>
      <c r="H2" s="78">
        <f t="shared" ref="H2:H22" si="0">DAYS360(G2,B2)</f>
        <v>34</v>
      </c>
      <c r="I2" s="78" t="s">
        <v>16</v>
      </c>
      <c r="J2" s="77">
        <v>1.5</v>
      </c>
      <c r="K2" s="77" t="s">
        <v>17</v>
      </c>
      <c r="L2" s="76" t="s">
        <v>41</v>
      </c>
      <c r="M2" s="77" t="s">
        <v>32</v>
      </c>
      <c r="N2" s="77"/>
      <c r="O2" s="77"/>
      <c r="P2" s="77"/>
      <c r="Q2" s="77" t="s">
        <v>49</v>
      </c>
      <c r="R2" s="76" t="s">
        <v>19</v>
      </c>
      <c r="S2" s="76" t="s">
        <v>19</v>
      </c>
    </row>
    <row r="3" spans="1:19" ht="15.75" x14ac:dyDescent="0.25">
      <c r="A3" s="64">
        <v>2</v>
      </c>
      <c r="B3" s="13">
        <v>45152</v>
      </c>
      <c r="C3" s="80" t="s">
        <v>73</v>
      </c>
      <c r="D3" s="80" t="s">
        <v>75</v>
      </c>
      <c r="E3" s="80">
        <v>79</v>
      </c>
      <c r="F3" s="77" t="s">
        <v>30</v>
      </c>
      <c r="G3" s="91">
        <v>45125</v>
      </c>
      <c r="H3" s="78">
        <f t="shared" si="0"/>
        <v>26</v>
      </c>
      <c r="I3" s="82" t="s">
        <v>26</v>
      </c>
      <c r="J3" s="80">
        <v>1</v>
      </c>
      <c r="K3" s="80" t="s">
        <v>39</v>
      </c>
      <c r="L3" s="76" t="s">
        <v>41</v>
      </c>
      <c r="M3" s="80" t="s">
        <v>44</v>
      </c>
      <c r="N3" s="80"/>
      <c r="O3" s="80"/>
      <c r="P3" s="80"/>
      <c r="Q3" s="80" t="s">
        <v>76</v>
      </c>
      <c r="R3" s="76" t="s">
        <v>19</v>
      </c>
      <c r="S3" s="76" t="s">
        <v>19</v>
      </c>
    </row>
    <row r="4" spans="1:19" ht="15.75" x14ac:dyDescent="0.25">
      <c r="A4" s="64">
        <v>3</v>
      </c>
      <c r="B4" s="13">
        <v>45152</v>
      </c>
      <c r="C4" s="80" t="s">
        <v>95</v>
      </c>
      <c r="D4" s="80" t="s">
        <v>96</v>
      </c>
      <c r="E4" s="80">
        <v>74</v>
      </c>
      <c r="F4" s="77" t="s">
        <v>30</v>
      </c>
      <c r="G4" s="91">
        <v>45138</v>
      </c>
      <c r="H4" s="78">
        <f t="shared" si="0"/>
        <v>14</v>
      </c>
      <c r="I4" s="82" t="s">
        <v>97</v>
      </c>
      <c r="J4" s="80">
        <v>1.5</v>
      </c>
      <c r="K4" s="80" t="s">
        <v>17</v>
      </c>
      <c r="L4" s="76" t="s">
        <v>41</v>
      </c>
      <c r="M4" s="80" t="s">
        <v>44</v>
      </c>
      <c r="N4" s="80"/>
      <c r="O4" s="80"/>
      <c r="P4" s="80"/>
      <c r="Q4" s="80" t="s">
        <v>100</v>
      </c>
      <c r="R4" s="76" t="s">
        <v>19</v>
      </c>
      <c r="S4" s="76" t="s">
        <v>19</v>
      </c>
    </row>
    <row r="5" spans="1:19" ht="15.75" x14ac:dyDescent="0.25">
      <c r="A5" s="64">
        <v>4</v>
      </c>
      <c r="B5" s="13">
        <v>45152</v>
      </c>
      <c r="C5" s="16" t="s">
        <v>102</v>
      </c>
      <c r="D5" s="80" t="s">
        <v>106</v>
      </c>
      <c r="E5" s="80">
        <v>68</v>
      </c>
      <c r="F5" s="77" t="s">
        <v>30</v>
      </c>
      <c r="G5" s="91">
        <v>45140</v>
      </c>
      <c r="H5" s="78">
        <f t="shared" si="0"/>
        <v>12</v>
      </c>
      <c r="I5" s="82" t="s">
        <v>22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80" t="s">
        <v>107</v>
      </c>
      <c r="R5" s="76" t="s">
        <v>19</v>
      </c>
      <c r="S5" s="76" t="s">
        <v>19</v>
      </c>
    </row>
    <row r="6" spans="1:19" ht="15.75" x14ac:dyDescent="0.25">
      <c r="A6" s="64">
        <v>5</v>
      </c>
      <c r="B6" s="13">
        <v>45152</v>
      </c>
      <c r="C6" s="16" t="s">
        <v>103</v>
      </c>
      <c r="D6" s="80" t="s">
        <v>104</v>
      </c>
      <c r="E6" s="80">
        <v>82</v>
      </c>
      <c r="F6" s="77" t="s">
        <v>30</v>
      </c>
      <c r="G6" s="91">
        <v>45140</v>
      </c>
      <c r="H6" s="78">
        <f t="shared" si="0"/>
        <v>12</v>
      </c>
      <c r="I6" s="82" t="s">
        <v>22</v>
      </c>
      <c r="J6" s="80">
        <v>1</v>
      </c>
      <c r="K6" s="80" t="s">
        <v>17</v>
      </c>
      <c r="L6" s="76" t="s">
        <v>41</v>
      </c>
      <c r="M6" s="80" t="s">
        <v>27</v>
      </c>
      <c r="N6" s="80"/>
      <c r="O6" s="80"/>
      <c r="P6" s="80"/>
      <c r="Q6" s="80" t="s">
        <v>105</v>
      </c>
      <c r="R6" s="76" t="s">
        <v>19</v>
      </c>
      <c r="S6" s="76" t="s">
        <v>19</v>
      </c>
    </row>
    <row r="7" spans="1:19" ht="15.75" x14ac:dyDescent="0.25">
      <c r="A7" s="64">
        <v>6</v>
      </c>
      <c r="B7" s="13">
        <v>45152</v>
      </c>
      <c r="C7" s="80" t="s">
        <v>109</v>
      </c>
      <c r="D7" s="80" t="s">
        <v>110</v>
      </c>
      <c r="E7" s="80">
        <v>56</v>
      </c>
      <c r="F7" s="77" t="s">
        <v>30</v>
      </c>
      <c r="G7" s="91">
        <v>45140</v>
      </c>
      <c r="H7" s="78">
        <f t="shared" si="0"/>
        <v>12</v>
      </c>
      <c r="I7" s="82" t="s">
        <v>111</v>
      </c>
      <c r="J7" s="80">
        <v>1.5</v>
      </c>
      <c r="K7" s="80" t="s">
        <v>17</v>
      </c>
      <c r="L7" s="76" t="s">
        <v>41</v>
      </c>
      <c r="M7" s="80" t="s">
        <v>44</v>
      </c>
      <c r="N7" s="80"/>
      <c r="O7" s="80"/>
      <c r="P7" s="80"/>
      <c r="Q7" s="80" t="s">
        <v>112</v>
      </c>
      <c r="R7" s="76" t="s">
        <v>19</v>
      </c>
      <c r="S7" s="76" t="s">
        <v>19</v>
      </c>
    </row>
    <row r="8" spans="1:19" ht="15.75" x14ac:dyDescent="0.25">
      <c r="A8" s="64">
        <v>7</v>
      </c>
      <c r="B8" s="13">
        <v>45152</v>
      </c>
      <c r="C8" s="80" t="s">
        <v>117</v>
      </c>
      <c r="D8" s="80" t="s">
        <v>118</v>
      </c>
      <c r="E8" s="80">
        <v>78</v>
      </c>
      <c r="F8" s="77" t="s">
        <v>30</v>
      </c>
      <c r="G8" s="91">
        <v>45141</v>
      </c>
      <c r="H8" s="78">
        <f t="shared" si="0"/>
        <v>11</v>
      </c>
      <c r="I8" s="82" t="s">
        <v>16</v>
      </c>
      <c r="J8" s="80">
        <v>1</v>
      </c>
      <c r="K8" s="80" t="s">
        <v>39</v>
      </c>
      <c r="L8" s="76" t="s">
        <v>41</v>
      </c>
      <c r="M8" s="80"/>
      <c r="N8" s="80"/>
      <c r="O8" s="80" t="s">
        <v>25</v>
      </c>
      <c r="P8" s="80"/>
      <c r="Q8" s="80" t="s">
        <v>119</v>
      </c>
      <c r="R8" s="76" t="s">
        <v>19</v>
      </c>
      <c r="S8" s="76" t="s">
        <v>19</v>
      </c>
    </row>
    <row r="9" spans="1:19" ht="15.75" x14ac:dyDescent="0.25">
      <c r="A9" s="64">
        <v>8</v>
      </c>
      <c r="B9" s="13">
        <v>45152</v>
      </c>
      <c r="C9" s="80" t="s">
        <v>117</v>
      </c>
      <c r="D9" s="80" t="s">
        <v>118</v>
      </c>
      <c r="E9" s="80">
        <v>78</v>
      </c>
      <c r="F9" s="77" t="s">
        <v>30</v>
      </c>
      <c r="G9" s="91">
        <v>45141</v>
      </c>
      <c r="H9" s="78">
        <f t="shared" si="0"/>
        <v>11</v>
      </c>
      <c r="I9" s="82" t="s">
        <v>16</v>
      </c>
      <c r="J9" s="80">
        <v>1.5</v>
      </c>
      <c r="K9" s="80" t="s">
        <v>39</v>
      </c>
      <c r="L9" s="76" t="s">
        <v>41</v>
      </c>
      <c r="M9" s="80"/>
      <c r="N9" s="80" t="s">
        <v>27</v>
      </c>
      <c r="O9" s="80"/>
      <c r="P9" s="80"/>
      <c r="Q9" s="80" t="s">
        <v>119</v>
      </c>
      <c r="R9" s="76" t="s">
        <v>19</v>
      </c>
      <c r="S9" s="76" t="s">
        <v>19</v>
      </c>
    </row>
    <row r="10" spans="1:19" ht="15.75" x14ac:dyDescent="0.25">
      <c r="A10" s="64">
        <v>9</v>
      </c>
      <c r="B10" s="13">
        <v>45152</v>
      </c>
      <c r="C10" s="80" t="s">
        <v>121</v>
      </c>
      <c r="D10" s="80" t="s">
        <v>123</v>
      </c>
      <c r="E10" s="80">
        <v>82</v>
      </c>
      <c r="F10" s="77" t="s">
        <v>30</v>
      </c>
      <c r="G10" s="91">
        <v>45142</v>
      </c>
      <c r="H10" s="78">
        <f t="shared" si="0"/>
        <v>10</v>
      </c>
      <c r="I10" s="82" t="s">
        <v>127</v>
      </c>
      <c r="J10" s="80">
        <v>1</v>
      </c>
      <c r="K10" s="80" t="s">
        <v>39</v>
      </c>
      <c r="L10" s="76" t="s">
        <v>41</v>
      </c>
      <c r="M10" s="80" t="s">
        <v>32</v>
      </c>
      <c r="N10" s="80"/>
      <c r="O10" s="80"/>
      <c r="P10" s="80"/>
      <c r="Q10" s="80" t="s">
        <v>129</v>
      </c>
      <c r="R10" s="76" t="s">
        <v>19</v>
      </c>
      <c r="S10" s="76" t="s">
        <v>19</v>
      </c>
    </row>
    <row r="11" spans="1:19" ht="15.75" x14ac:dyDescent="0.25">
      <c r="A11" s="64">
        <v>10</v>
      </c>
      <c r="B11" s="13">
        <v>45152</v>
      </c>
      <c r="C11" s="80" t="s">
        <v>125</v>
      </c>
      <c r="D11" s="80" t="s">
        <v>126</v>
      </c>
      <c r="E11" s="80">
        <v>75</v>
      </c>
      <c r="F11" s="77" t="s">
        <v>30</v>
      </c>
      <c r="G11" s="91">
        <v>45142</v>
      </c>
      <c r="H11" s="78">
        <f t="shared" si="0"/>
        <v>10</v>
      </c>
      <c r="I11" s="82" t="s">
        <v>24</v>
      </c>
      <c r="J11" s="80">
        <v>1</v>
      </c>
      <c r="K11" s="80" t="s">
        <v>17</v>
      </c>
      <c r="L11" s="76" t="s">
        <v>41</v>
      </c>
      <c r="M11" s="80"/>
      <c r="N11" s="80" t="s">
        <v>46</v>
      </c>
      <c r="O11" s="80"/>
      <c r="P11" s="80"/>
      <c r="Q11" s="80" t="s">
        <v>131</v>
      </c>
      <c r="R11" s="76" t="s">
        <v>19</v>
      </c>
      <c r="S11" s="76" t="s">
        <v>19</v>
      </c>
    </row>
    <row r="12" spans="1:19" ht="15.75" x14ac:dyDescent="0.25">
      <c r="A12" s="64">
        <v>11</v>
      </c>
      <c r="B12" s="13">
        <v>45152</v>
      </c>
      <c r="C12" s="80" t="s">
        <v>134</v>
      </c>
      <c r="D12" s="80" t="s">
        <v>135</v>
      </c>
      <c r="E12" s="80">
        <v>42</v>
      </c>
      <c r="F12" s="77" t="s">
        <v>30</v>
      </c>
      <c r="G12" s="91">
        <v>45143</v>
      </c>
      <c r="H12" s="78">
        <f t="shared" si="0"/>
        <v>9</v>
      </c>
      <c r="I12" s="82" t="s">
        <v>22</v>
      </c>
      <c r="J12" s="80">
        <v>0.75</v>
      </c>
      <c r="K12" s="80" t="s">
        <v>17</v>
      </c>
      <c r="L12" s="76" t="s">
        <v>41</v>
      </c>
      <c r="M12" s="80"/>
      <c r="N12" s="80"/>
      <c r="O12" s="80" t="s">
        <v>25</v>
      </c>
      <c r="P12" s="80"/>
      <c r="Q12" s="80" t="s">
        <v>58</v>
      </c>
      <c r="R12" s="76" t="s">
        <v>19</v>
      </c>
      <c r="S12" s="76" t="s">
        <v>19</v>
      </c>
    </row>
    <row r="13" spans="1:19" ht="15.75" x14ac:dyDescent="0.25">
      <c r="A13" s="64">
        <v>12</v>
      </c>
      <c r="B13" s="13">
        <v>45152</v>
      </c>
      <c r="C13" s="80" t="s">
        <v>136</v>
      </c>
      <c r="D13" s="80" t="s">
        <v>138</v>
      </c>
      <c r="E13" s="80">
        <v>29</v>
      </c>
      <c r="F13" s="77" t="s">
        <v>30</v>
      </c>
      <c r="G13" s="91">
        <v>45145</v>
      </c>
      <c r="H13" s="78">
        <f t="shared" si="0"/>
        <v>7</v>
      </c>
      <c r="I13" s="82" t="s">
        <v>22</v>
      </c>
      <c r="J13" s="80">
        <v>0.75</v>
      </c>
      <c r="K13" s="80" t="s">
        <v>17</v>
      </c>
      <c r="L13" s="76" t="s">
        <v>41</v>
      </c>
      <c r="M13" s="80"/>
      <c r="N13" s="80"/>
      <c r="O13" s="80" t="s">
        <v>25</v>
      </c>
      <c r="P13" s="80"/>
      <c r="Q13" s="80" t="s">
        <v>94</v>
      </c>
      <c r="R13" s="76" t="s">
        <v>19</v>
      </c>
      <c r="S13" s="76" t="s">
        <v>19</v>
      </c>
    </row>
    <row r="14" spans="1:19" ht="15.75" x14ac:dyDescent="0.25">
      <c r="A14" s="64">
        <v>13</v>
      </c>
      <c r="B14" s="13">
        <v>45152</v>
      </c>
      <c r="C14" s="80" t="s">
        <v>137</v>
      </c>
      <c r="D14" s="80" t="s">
        <v>139</v>
      </c>
      <c r="E14" s="80">
        <v>49</v>
      </c>
      <c r="F14" s="77" t="s">
        <v>30</v>
      </c>
      <c r="G14" s="91">
        <v>45145</v>
      </c>
      <c r="H14" s="78">
        <f t="shared" si="0"/>
        <v>7</v>
      </c>
      <c r="I14" s="82" t="s">
        <v>127</v>
      </c>
      <c r="J14" s="80">
        <v>1</v>
      </c>
      <c r="K14" s="80" t="s">
        <v>39</v>
      </c>
      <c r="L14" s="76" t="s">
        <v>41</v>
      </c>
      <c r="M14" s="80"/>
      <c r="N14" s="80"/>
      <c r="O14" s="80" t="s">
        <v>69</v>
      </c>
      <c r="P14" s="80"/>
      <c r="Q14" s="80" t="s">
        <v>140</v>
      </c>
      <c r="R14" s="76" t="s">
        <v>19</v>
      </c>
      <c r="S14" s="76" t="s">
        <v>19</v>
      </c>
    </row>
    <row r="15" spans="1:19" ht="15.75" x14ac:dyDescent="0.25">
      <c r="A15" s="64">
        <v>14</v>
      </c>
      <c r="B15" s="13">
        <v>45152</v>
      </c>
      <c r="C15" s="80" t="s">
        <v>137</v>
      </c>
      <c r="D15" s="80" t="s">
        <v>139</v>
      </c>
      <c r="E15" s="80">
        <v>49</v>
      </c>
      <c r="F15" s="77" t="s">
        <v>30</v>
      </c>
      <c r="G15" s="91">
        <v>45145</v>
      </c>
      <c r="H15" s="78">
        <f t="shared" si="0"/>
        <v>7</v>
      </c>
      <c r="I15" s="82" t="s">
        <v>127</v>
      </c>
      <c r="J15" s="80">
        <v>1</v>
      </c>
      <c r="K15" s="80" t="s">
        <v>39</v>
      </c>
      <c r="L15" s="76" t="s">
        <v>41</v>
      </c>
      <c r="M15" s="80"/>
      <c r="N15" s="80"/>
      <c r="O15" s="80" t="s">
        <v>69</v>
      </c>
      <c r="P15" s="80"/>
      <c r="Q15" s="80" t="s">
        <v>140</v>
      </c>
      <c r="R15" s="76" t="s">
        <v>19</v>
      </c>
      <c r="S15" s="76" t="s">
        <v>19</v>
      </c>
    </row>
    <row r="16" spans="1:19" ht="15.75" x14ac:dyDescent="0.25">
      <c r="A16" s="64">
        <v>15</v>
      </c>
      <c r="B16" s="13">
        <v>45152</v>
      </c>
      <c r="C16" s="80" t="s">
        <v>141</v>
      </c>
      <c r="D16" s="80" t="s">
        <v>142</v>
      </c>
      <c r="E16" s="80">
        <v>74</v>
      </c>
      <c r="F16" s="77" t="s">
        <v>30</v>
      </c>
      <c r="G16" s="91">
        <v>45145</v>
      </c>
      <c r="H16" s="78">
        <f t="shared" si="0"/>
        <v>7</v>
      </c>
      <c r="I16" s="82" t="s">
        <v>26</v>
      </c>
      <c r="J16" s="80">
        <v>1</v>
      </c>
      <c r="K16" s="80" t="s">
        <v>39</v>
      </c>
      <c r="L16" s="76" t="s">
        <v>41</v>
      </c>
      <c r="M16" s="80"/>
      <c r="N16" s="80"/>
      <c r="O16" s="80" t="s">
        <v>25</v>
      </c>
      <c r="P16" s="80"/>
      <c r="Q16" s="80" t="s">
        <v>74</v>
      </c>
      <c r="R16" s="76" t="s">
        <v>19</v>
      </c>
      <c r="S16" s="76" t="s">
        <v>19</v>
      </c>
    </row>
    <row r="17" spans="1:19" ht="15.75" x14ac:dyDescent="0.25">
      <c r="A17" s="64">
        <v>16</v>
      </c>
      <c r="B17" s="13">
        <v>45152</v>
      </c>
      <c r="C17" s="80" t="s">
        <v>149</v>
      </c>
      <c r="D17" s="80" t="s">
        <v>150</v>
      </c>
      <c r="E17" s="80">
        <v>73</v>
      </c>
      <c r="F17" s="77" t="s">
        <v>30</v>
      </c>
      <c r="G17" s="91">
        <v>45146</v>
      </c>
      <c r="H17" s="78">
        <f t="shared" ref="H17" si="1">DAYS360(G17,B17)</f>
        <v>6</v>
      </c>
      <c r="I17" s="82" t="s">
        <v>22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151</v>
      </c>
      <c r="R17" s="80" t="s">
        <v>19</v>
      </c>
      <c r="S17" s="80" t="s">
        <v>19</v>
      </c>
    </row>
    <row r="18" spans="1:19" ht="15.75" x14ac:dyDescent="0.25">
      <c r="A18" s="64">
        <v>17</v>
      </c>
      <c r="B18" s="13">
        <v>45152</v>
      </c>
      <c r="C18" s="80" t="s">
        <v>149</v>
      </c>
      <c r="D18" s="80" t="s">
        <v>150</v>
      </c>
      <c r="E18" s="80">
        <v>73</v>
      </c>
      <c r="F18" s="77" t="s">
        <v>30</v>
      </c>
      <c r="G18" s="91">
        <v>45146</v>
      </c>
      <c r="H18" s="78">
        <f t="shared" si="0"/>
        <v>6</v>
      </c>
      <c r="I18" s="82" t="s">
        <v>22</v>
      </c>
      <c r="J18" s="80">
        <v>1.5</v>
      </c>
      <c r="K18" s="80" t="s">
        <v>39</v>
      </c>
      <c r="L18" s="76" t="s">
        <v>41</v>
      </c>
      <c r="M18" s="80" t="s">
        <v>32</v>
      </c>
      <c r="N18" s="80"/>
      <c r="O18" s="80"/>
      <c r="P18" s="80"/>
      <c r="Q18" s="80" t="s">
        <v>151</v>
      </c>
      <c r="R18" s="80" t="s">
        <v>19</v>
      </c>
      <c r="S18" s="80" t="s">
        <v>19</v>
      </c>
    </row>
    <row r="19" spans="1:19" ht="15.75" x14ac:dyDescent="0.25">
      <c r="A19" s="64">
        <v>18</v>
      </c>
      <c r="B19" s="13">
        <v>45152</v>
      </c>
      <c r="C19" s="80" t="s">
        <v>152</v>
      </c>
      <c r="D19" s="80" t="s">
        <v>153</v>
      </c>
      <c r="E19" s="80">
        <v>60</v>
      </c>
      <c r="F19" s="77" t="s">
        <v>30</v>
      </c>
      <c r="G19" s="91">
        <v>45147</v>
      </c>
      <c r="H19" s="78">
        <f t="shared" si="0"/>
        <v>5</v>
      </c>
      <c r="I19" s="82" t="s">
        <v>22</v>
      </c>
      <c r="J19" s="80">
        <v>1</v>
      </c>
      <c r="K19" s="80" t="s">
        <v>39</v>
      </c>
      <c r="L19" s="76" t="s">
        <v>41</v>
      </c>
      <c r="M19" s="80" t="s">
        <v>159</v>
      </c>
      <c r="N19" s="80"/>
      <c r="O19" s="80"/>
      <c r="P19" s="80"/>
      <c r="Q19" s="80" t="s">
        <v>76</v>
      </c>
      <c r="R19" s="80" t="s">
        <v>19</v>
      </c>
      <c r="S19" s="80" t="s">
        <v>19</v>
      </c>
    </row>
    <row r="20" spans="1:19" ht="15.75" x14ac:dyDescent="0.25">
      <c r="A20" s="64">
        <v>19</v>
      </c>
      <c r="B20" s="13">
        <v>45152</v>
      </c>
      <c r="C20" s="80" t="s">
        <v>152</v>
      </c>
      <c r="D20" s="80" t="s">
        <v>153</v>
      </c>
      <c r="E20" s="80">
        <v>60</v>
      </c>
      <c r="F20" s="77" t="s">
        <v>30</v>
      </c>
      <c r="G20" s="91">
        <v>45147</v>
      </c>
      <c r="H20" s="78">
        <f t="shared" ref="H20" si="2">DAYS360(G20,B20)</f>
        <v>5</v>
      </c>
      <c r="I20" s="82" t="s">
        <v>22</v>
      </c>
      <c r="J20" s="80">
        <v>1</v>
      </c>
      <c r="K20" s="80" t="s">
        <v>39</v>
      </c>
      <c r="L20" s="76" t="s">
        <v>41</v>
      </c>
      <c r="M20" s="80"/>
      <c r="N20" s="80"/>
      <c r="O20" s="80"/>
      <c r="P20" s="80" t="s">
        <v>69</v>
      </c>
      <c r="Q20" s="80" t="s">
        <v>76</v>
      </c>
      <c r="R20" s="80" t="s">
        <v>19</v>
      </c>
      <c r="S20" s="80" t="s">
        <v>19</v>
      </c>
    </row>
    <row r="21" spans="1:19" ht="15.75" x14ac:dyDescent="0.25">
      <c r="A21" s="64">
        <v>20</v>
      </c>
      <c r="B21" s="13">
        <v>45152</v>
      </c>
      <c r="C21" s="80" t="s">
        <v>152</v>
      </c>
      <c r="D21" s="80" t="s">
        <v>153</v>
      </c>
      <c r="E21" s="80">
        <v>60</v>
      </c>
      <c r="F21" s="77" t="s">
        <v>30</v>
      </c>
      <c r="G21" s="91">
        <v>45147</v>
      </c>
      <c r="H21" s="78">
        <f t="shared" si="0"/>
        <v>5</v>
      </c>
      <c r="I21" s="82" t="s">
        <v>22</v>
      </c>
      <c r="J21" s="80">
        <v>1</v>
      </c>
      <c r="K21" s="80" t="s">
        <v>39</v>
      </c>
      <c r="L21" s="76" t="s">
        <v>41</v>
      </c>
      <c r="M21" s="80"/>
      <c r="N21" s="80"/>
      <c r="O21" s="80"/>
      <c r="P21" s="80" t="s">
        <v>69</v>
      </c>
      <c r="Q21" s="80" t="s">
        <v>76</v>
      </c>
      <c r="R21" s="80" t="s">
        <v>19</v>
      </c>
      <c r="S21" s="80" t="s">
        <v>19</v>
      </c>
    </row>
    <row r="22" spans="1:19" ht="15.75" customHeight="1" x14ac:dyDescent="0.25">
      <c r="A22" s="64">
        <v>21</v>
      </c>
      <c r="B22" s="13">
        <v>45152</v>
      </c>
      <c r="C22" s="80" t="s">
        <v>154</v>
      </c>
      <c r="D22" s="80" t="s">
        <v>155</v>
      </c>
      <c r="E22" s="80">
        <v>31</v>
      </c>
      <c r="F22" s="80" t="s">
        <v>30</v>
      </c>
      <c r="G22" s="91">
        <v>45149</v>
      </c>
      <c r="H22" s="82">
        <f t="shared" si="0"/>
        <v>3</v>
      </c>
      <c r="I22" s="82" t="s">
        <v>22</v>
      </c>
      <c r="J22" s="80">
        <v>1</v>
      </c>
      <c r="K22" s="80" t="s">
        <v>17</v>
      </c>
      <c r="L22" s="76" t="s">
        <v>41</v>
      </c>
      <c r="M22" s="80"/>
      <c r="N22" s="80"/>
      <c r="O22" s="80" t="s">
        <v>25</v>
      </c>
      <c r="P22" s="80"/>
      <c r="Q22" s="80" t="s">
        <v>58</v>
      </c>
      <c r="R22" s="80" t="s">
        <v>19</v>
      </c>
      <c r="S22" s="6"/>
    </row>
    <row r="23" spans="1:19" ht="15.75" customHeight="1" x14ac:dyDescent="0.25">
      <c r="A23" s="64">
        <v>22</v>
      </c>
      <c r="B23" s="19"/>
      <c r="C23" s="19"/>
      <c r="D23" s="19"/>
      <c r="E23" s="19"/>
      <c r="F23" s="22"/>
      <c r="G23" s="19"/>
      <c r="H23" s="19"/>
      <c r="I23" s="20"/>
      <c r="J23" s="19"/>
      <c r="K23" s="19"/>
      <c r="L23" s="19"/>
      <c r="M23" s="19"/>
      <c r="N23" s="19"/>
      <c r="O23" s="19"/>
      <c r="P23" s="19"/>
      <c r="Q23" s="93"/>
      <c r="R23" s="19"/>
      <c r="S23" s="19"/>
    </row>
    <row r="24" spans="1:19" ht="15.75" customHeight="1" x14ac:dyDescent="0.25">
      <c r="A24" s="64">
        <v>23</v>
      </c>
      <c r="B24" s="19"/>
      <c r="C24" s="19"/>
      <c r="D24" s="19"/>
      <c r="E24" s="19"/>
      <c r="F24" s="19"/>
      <c r="G24" s="19"/>
      <c r="H24" s="19"/>
      <c r="I24" s="20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995"/>
  <sheetViews>
    <sheetView zoomScale="50" zoomScaleNormal="50" workbookViewId="0">
      <selection activeCell="C37" sqref="C37"/>
    </sheetView>
  </sheetViews>
  <sheetFormatPr baseColWidth="10" defaultColWidth="14.42578125" defaultRowHeight="15" customHeight="1" x14ac:dyDescent="0.25"/>
  <cols>
    <col min="1" max="1" width="4.8554687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12.425781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19.85546875" customWidth="1"/>
    <col min="16" max="16" width="9.5703125" customWidth="1"/>
    <col min="17" max="17" width="76.28515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0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25" t="s">
        <v>67</v>
      </c>
    </row>
    <row r="2" spans="1:20" ht="15.75" x14ac:dyDescent="0.25">
      <c r="A2" s="9">
        <v>1</v>
      </c>
      <c r="B2" s="13">
        <v>45153</v>
      </c>
      <c r="C2" s="80" t="s">
        <v>117</v>
      </c>
      <c r="D2" s="80" t="s">
        <v>118</v>
      </c>
      <c r="E2" s="80">
        <v>78</v>
      </c>
      <c r="F2" s="80" t="s">
        <v>30</v>
      </c>
      <c r="G2" s="91">
        <v>45141</v>
      </c>
      <c r="H2" s="82">
        <f>DAYS360(G2,B2)</f>
        <v>12</v>
      </c>
      <c r="I2" s="80" t="s">
        <v>16</v>
      </c>
      <c r="J2" s="80">
        <v>1.5</v>
      </c>
      <c r="K2" s="80" t="s">
        <v>39</v>
      </c>
      <c r="L2" s="76" t="s">
        <v>41</v>
      </c>
      <c r="M2" s="80" t="s">
        <v>44</v>
      </c>
      <c r="N2" s="80"/>
      <c r="O2" s="80"/>
      <c r="P2" s="80"/>
      <c r="Q2" s="80" t="s">
        <v>119</v>
      </c>
      <c r="R2" s="76" t="s">
        <v>19</v>
      </c>
      <c r="S2" s="71"/>
      <c r="T2" s="15"/>
    </row>
    <row r="3" spans="1:20" ht="15.75" x14ac:dyDescent="0.25">
      <c r="A3" s="9">
        <v>2</v>
      </c>
      <c r="B3" s="13">
        <v>45153</v>
      </c>
      <c r="C3" s="80" t="s">
        <v>156</v>
      </c>
      <c r="D3" s="80" t="s">
        <v>157</v>
      </c>
      <c r="E3" s="80">
        <v>92</v>
      </c>
      <c r="F3" s="80" t="s">
        <v>30</v>
      </c>
      <c r="G3" s="91">
        <v>45148</v>
      </c>
      <c r="H3" s="82">
        <f t="shared" ref="H3:H15" si="0">DAYS360(G3,B3)</f>
        <v>5</v>
      </c>
      <c r="I3" s="80" t="s">
        <v>22</v>
      </c>
      <c r="J3" s="80">
        <v>1</v>
      </c>
      <c r="K3" s="80" t="s">
        <v>17</v>
      </c>
      <c r="L3" s="76" t="s">
        <v>41</v>
      </c>
      <c r="M3" s="80"/>
      <c r="N3" s="80"/>
      <c r="O3" s="80"/>
      <c r="P3" s="80" t="s">
        <v>69</v>
      </c>
      <c r="Q3" s="80" t="s">
        <v>158</v>
      </c>
      <c r="R3" s="80" t="s">
        <v>19</v>
      </c>
      <c r="S3" s="71"/>
      <c r="T3" s="15"/>
    </row>
    <row r="4" spans="1:20" ht="15.75" x14ac:dyDescent="0.25">
      <c r="A4" s="9">
        <v>3</v>
      </c>
      <c r="B4" s="13">
        <v>45153</v>
      </c>
      <c r="C4" s="80" t="s">
        <v>156</v>
      </c>
      <c r="D4" s="80" t="s">
        <v>157</v>
      </c>
      <c r="E4" s="80">
        <v>92</v>
      </c>
      <c r="F4" s="80" t="s">
        <v>30</v>
      </c>
      <c r="G4" s="91">
        <v>45148</v>
      </c>
      <c r="H4" s="82">
        <f t="shared" si="0"/>
        <v>5</v>
      </c>
      <c r="I4" s="80" t="s">
        <v>22</v>
      </c>
      <c r="J4" s="80">
        <v>1</v>
      </c>
      <c r="K4" s="80" t="s">
        <v>17</v>
      </c>
      <c r="L4" s="76" t="s">
        <v>41</v>
      </c>
      <c r="M4" s="80"/>
      <c r="N4" s="80"/>
      <c r="O4" s="80"/>
      <c r="P4" s="80" t="s">
        <v>69</v>
      </c>
      <c r="Q4" s="80" t="s">
        <v>158</v>
      </c>
      <c r="R4" s="80" t="s">
        <v>19</v>
      </c>
      <c r="S4" s="71"/>
      <c r="T4" s="15"/>
    </row>
    <row r="5" spans="1:20" ht="15.75" x14ac:dyDescent="0.25">
      <c r="A5" s="9">
        <v>4</v>
      </c>
      <c r="B5" s="13">
        <v>45153</v>
      </c>
      <c r="C5" s="16" t="s">
        <v>103</v>
      </c>
      <c r="D5" s="80" t="s">
        <v>104</v>
      </c>
      <c r="E5" s="80">
        <v>82</v>
      </c>
      <c r="F5" s="80" t="s">
        <v>30</v>
      </c>
      <c r="G5" s="91">
        <v>45140</v>
      </c>
      <c r="H5" s="82">
        <f t="shared" si="0"/>
        <v>13</v>
      </c>
      <c r="I5" s="80" t="s">
        <v>22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80" t="s">
        <v>105</v>
      </c>
      <c r="R5" s="76" t="s">
        <v>19</v>
      </c>
      <c r="S5" s="64"/>
      <c r="T5" s="15"/>
    </row>
    <row r="6" spans="1:20" ht="15.75" x14ac:dyDescent="0.25">
      <c r="A6" s="9">
        <v>5</v>
      </c>
      <c r="B6" s="13">
        <v>45153</v>
      </c>
      <c r="C6" s="80" t="s">
        <v>160</v>
      </c>
      <c r="D6" s="80" t="s">
        <v>161</v>
      </c>
      <c r="E6" s="80">
        <v>58</v>
      </c>
      <c r="F6" s="80" t="s">
        <v>30</v>
      </c>
      <c r="G6" s="91">
        <v>45150</v>
      </c>
      <c r="H6" s="82">
        <f t="shared" si="0"/>
        <v>3</v>
      </c>
      <c r="I6" s="80" t="s">
        <v>26</v>
      </c>
      <c r="J6" s="80">
        <v>1</v>
      </c>
      <c r="K6" s="80" t="s">
        <v>17</v>
      </c>
      <c r="L6" s="76" t="s">
        <v>41</v>
      </c>
      <c r="M6" s="80" t="s">
        <v>27</v>
      </c>
      <c r="N6" s="80"/>
      <c r="O6" s="80"/>
      <c r="P6" s="80"/>
      <c r="Q6" s="80" t="s">
        <v>162</v>
      </c>
      <c r="R6" s="80" t="s">
        <v>19</v>
      </c>
      <c r="S6" s="64"/>
      <c r="T6" s="15"/>
    </row>
    <row r="7" spans="1:20" ht="15.75" x14ac:dyDescent="0.25">
      <c r="A7" s="9">
        <v>6</v>
      </c>
      <c r="B7" s="13">
        <v>45153</v>
      </c>
      <c r="C7" s="80" t="s">
        <v>160</v>
      </c>
      <c r="D7" s="80" t="s">
        <v>161</v>
      </c>
      <c r="E7" s="80">
        <v>58</v>
      </c>
      <c r="F7" s="80" t="s">
        <v>30</v>
      </c>
      <c r="G7" s="91">
        <v>45150</v>
      </c>
      <c r="H7" s="82">
        <f t="shared" si="0"/>
        <v>3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 t="s">
        <v>52</v>
      </c>
      <c r="O7" s="80"/>
      <c r="P7" s="80"/>
      <c r="Q7" s="80" t="s">
        <v>162</v>
      </c>
      <c r="R7" s="80" t="s">
        <v>19</v>
      </c>
      <c r="S7" s="64"/>
      <c r="T7" s="15"/>
    </row>
    <row r="8" spans="1:20" ht="15.75" x14ac:dyDescent="0.25">
      <c r="A8" s="9">
        <v>7</v>
      </c>
      <c r="B8" s="13">
        <v>45153</v>
      </c>
      <c r="C8" s="80" t="s">
        <v>121</v>
      </c>
      <c r="D8" s="80" t="s">
        <v>123</v>
      </c>
      <c r="E8" s="80">
        <v>82</v>
      </c>
      <c r="F8" s="80" t="s">
        <v>30</v>
      </c>
      <c r="G8" s="91">
        <v>45142</v>
      </c>
      <c r="H8" s="82">
        <f t="shared" si="0"/>
        <v>11</v>
      </c>
      <c r="I8" s="80" t="s">
        <v>127</v>
      </c>
      <c r="J8" s="80">
        <v>1</v>
      </c>
      <c r="K8" s="80" t="s">
        <v>39</v>
      </c>
      <c r="L8" s="76" t="s">
        <v>41</v>
      </c>
      <c r="M8" s="80" t="s">
        <v>32</v>
      </c>
      <c r="N8" s="80"/>
      <c r="O8" s="80"/>
      <c r="P8" s="80"/>
      <c r="Q8" s="80" t="s">
        <v>129</v>
      </c>
      <c r="R8" s="76" t="s">
        <v>19</v>
      </c>
      <c r="S8" s="64"/>
      <c r="T8" s="15"/>
    </row>
    <row r="9" spans="1:20" ht="15.75" x14ac:dyDescent="0.25">
      <c r="A9" s="9">
        <v>8</v>
      </c>
      <c r="B9" s="13">
        <v>45153</v>
      </c>
      <c r="C9" s="80" t="s">
        <v>152</v>
      </c>
      <c r="D9" s="80" t="s">
        <v>153</v>
      </c>
      <c r="E9" s="80">
        <v>60</v>
      </c>
      <c r="F9" s="80" t="s">
        <v>30</v>
      </c>
      <c r="G9" s="91">
        <v>45147</v>
      </c>
      <c r="H9" s="82">
        <f t="shared" si="0"/>
        <v>6</v>
      </c>
      <c r="I9" s="80" t="s">
        <v>22</v>
      </c>
      <c r="J9" s="80">
        <v>1</v>
      </c>
      <c r="K9" s="80" t="s">
        <v>39</v>
      </c>
      <c r="L9" s="76" t="s">
        <v>41</v>
      </c>
      <c r="M9" s="80"/>
      <c r="N9" s="80" t="s">
        <v>27</v>
      </c>
      <c r="O9" s="80"/>
      <c r="P9" s="80"/>
      <c r="Q9" s="80" t="s">
        <v>76</v>
      </c>
      <c r="R9" s="80" t="s">
        <v>19</v>
      </c>
      <c r="S9" s="64"/>
      <c r="T9" s="15"/>
    </row>
    <row r="10" spans="1:20" ht="15.75" x14ac:dyDescent="0.25">
      <c r="A10" s="9">
        <v>9</v>
      </c>
      <c r="B10" s="13">
        <v>45153</v>
      </c>
      <c r="C10" s="80" t="s">
        <v>134</v>
      </c>
      <c r="D10" s="80" t="s">
        <v>135</v>
      </c>
      <c r="E10" s="80">
        <v>42</v>
      </c>
      <c r="F10" s="80" t="s">
        <v>30</v>
      </c>
      <c r="G10" s="91">
        <v>45143</v>
      </c>
      <c r="H10" s="82">
        <f t="shared" si="0"/>
        <v>10</v>
      </c>
      <c r="I10" s="80" t="s">
        <v>22</v>
      </c>
      <c r="J10" s="80">
        <v>0.75</v>
      </c>
      <c r="K10" s="80" t="s">
        <v>17</v>
      </c>
      <c r="L10" s="76" t="s">
        <v>41</v>
      </c>
      <c r="M10" s="80"/>
      <c r="N10" s="80"/>
      <c r="O10" s="80" t="s">
        <v>25</v>
      </c>
      <c r="P10" s="80"/>
      <c r="Q10" s="80" t="s">
        <v>58</v>
      </c>
      <c r="R10" s="76" t="s">
        <v>19</v>
      </c>
      <c r="S10" s="64"/>
      <c r="T10" s="15"/>
    </row>
    <row r="11" spans="1:20" ht="15.75" x14ac:dyDescent="0.25">
      <c r="A11" s="9">
        <v>10</v>
      </c>
      <c r="B11" s="13">
        <v>45153</v>
      </c>
      <c r="C11" s="80" t="s">
        <v>109</v>
      </c>
      <c r="D11" s="80" t="s">
        <v>110</v>
      </c>
      <c r="E11" s="80">
        <v>56</v>
      </c>
      <c r="F11" s="80" t="s">
        <v>30</v>
      </c>
      <c r="G11" s="91">
        <v>45140</v>
      </c>
      <c r="H11" s="82">
        <f t="shared" si="0"/>
        <v>13</v>
      </c>
      <c r="I11" s="80" t="s">
        <v>111</v>
      </c>
      <c r="J11" s="80">
        <v>1.5</v>
      </c>
      <c r="K11" s="80" t="s">
        <v>17</v>
      </c>
      <c r="L11" s="76" t="s">
        <v>41</v>
      </c>
      <c r="M11" s="80" t="s">
        <v>44</v>
      </c>
      <c r="N11" s="80"/>
      <c r="O11" s="80"/>
      <c r="P11" s="80"/>
      <c r="Q11" s="80" t="s">
        <v>112</v>
      </c>
      <c r="R11" s="76" t="s">
        <v>19</v>
      </c>
      <c r="S11" s="64"/>
      <c r="T11" s="15"/>
    </row>
    <row r="12" spans="1:20" ht="15.75" x14ac:dyDescent="0.25">
      <c r="A12" s="9">
        <v>11</v>
      </c>
      <c r="B12" s="13">
        <v>45153</v>
      </c>
      <c r="C12" s="80" t="s">
        <v>154</v>
      </c>
      <c r="D12" s="80" t="s">
        <v>155</v>
      </c>
      <c r="E12" s="80">
        <v>31</v>
      </c>
      <c r="F12" s="80" t="s">
        <v>30</v>
      </c>
      <c r="G12" s="91">
        <v>45149</v>
      </c>
      <c r="H12" s="82">
        <f t="shared" si="0"/>
        <v>4</v>
      </c>
      <c r="I12" s="80" t="s">
        <v>22</v>
      </c>
      <c r="J12" s="80">
        <v>1</v>
      </c>
      <c r="K12" s="80" t="s">
        <v>17</v>
      </c>
      <c r="L12" s="76" t="s">
        <v>41</v>
      </c>
      <c r="M12" s="80"/>
      <c r="N12" s="80"/>
      <c r="O12" s="80" t="s">
        <v>25</v>
      </c>
      <c r="P12" s="80"/>
      <c r="Q12" s="80" t="s">
        <v>58</v>
      </c>
      <c r="R12" s="80" t="s">
        <v>19</v>
      </c>
      <c r="S12" s="64"/>
      <c r="T12" s="15"/>
    </row>
    <row r="13" spans="1:20" ht="15.75" x14ac:dyDescent="0.25">
      <c r="A13" s="9">
        <v>12</v>
      </c>
      <c r="B13" s="13">
        <v>45153</v>
      </c>
      <c r="C13" s="80" t="s">
        <v>125</v>
      </c>
      <c r="D13" s="80" t="s">
        <v>126</v>
      </c>
      <c r="E13" s="80">
        <v>75</v>
      </c>
      <c r="F13" s="80" t="s">
        <v>30</v>
      </c>
      <c r="G13" s="91">
        <v>45142</v>
      </c>
      <c r="H13" s="82">
        <f t="shared" si="0"/>
        <v>11</v>
      </c>
      <c r="I13" s="80" t="s">
        <v>24</v>
      </c>
      <c r="J13" s="80">
        <v>1</v>
      </c>
      <c r="K13" s="80" t="s">
        <v>17</v>
      </c>
      <c r="L13" s="76" t="s">
        <v>41</v>
      </c>
      <c r="M13" s="80"/>
      <c r="N13" s="80" t="s">
        <v>46</v>
      </c>
      <c r="O13" s="80"/>
      <c r="P13" s="80"/>
      <c r="Q13" s="80" t="s">
        <v>131</v>
      </c>
      <c r="R13" s="76" t="s">
        <v>19</v>
      </c>
      <c r="S13" s="64"/>
      <c r="T13" s="15"/>
    </row>
    <row r="14" spans="1:20" ht="15.75" x14ac:dyDescent="0.25">
      <c r="A14" s="9">
        <v>13</v>
      </c>
      <c r="B14" s="13">
        <v>45153</v>
      </c>
      <c r="C14" s="77" t="s">
        <v>47</v>
      </c>
      <c r="D14" s="77" t="s">
        <v>48</v>
      </c>
      <c r="E14" s="77">
        <v>73</v>
      </c>
      <c r="F14" s="80" t="s">
        <v>30</v>
      </c>
      <c r="G14" s="95">
        <v>45150</v>
      </c>
      <c r="H14" s="82">
        <f t="shared" si="0"/>
        <v>3</v>
      </c>
      <c r="I14" s="77" t="s">
        <v>22</v>
      </c>
      <c r="J14" s="77">
        <v>1</v>
      </c>
      <c r="K14" s="77" t="s">
        <v>17</v>
      </c>
      <c r="L14" s="76" t="s">
        <v>41</v>
      </c>
      <c r="M14" s="77" t="s">
        <v>32</v>
      </c>
      <c r="N14" s="77"/>
      <c r="O14" s="77"/>
      <c r="P14" s="77"/>
      <c r="Q14" s="77" t="s">
        <v>49</v>
      </c>
      <c r="R14" s="76" t="s">
        <v>19</v>
      </c>
      <c r="S14" s="64"/>
      <c r="T14" s="15"/>
    </row>
    <row r="15" spans="1:20" ht="15.75" x14ac:dyDescent="0.25">
      <c r="A15" s="9">
        <v>14</v>
      </c>
      <c r="B15" s="13">
        <v>45153</v>
      </c>
      <c r="C15" s="16" t="s">
        <v>103</v>
      </c>
      <c r="D15" s="80" t="s">
        <v>104</v>
      </c>
      <c r="E15" s="80">
        <v>82</v>
      </c>
      <c r="F15" s="80" t="s">
        <v>30</v>
      </c>
      <c r="G15" s="91">
        <v>45140</v>
      </c>
      <c r="H15" s="82">
        <f t="shared" si="0"/>
        <v>13</v>
      </c>
      <c r="I15" s="80" t="s">
        <v>22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105</v>
      </c>
      <c r="R15" s="76" t="s">
        <v>19</v>
      </c>
      <c r="S15" s="64"/>
      <c r="T15" s="15"/>
    </row>
    <row r="16" spans="1:20" ht="15.75" x14ac:dyDescent="0.25">
      <c r="A16" s="9"/>
      <c r="B16" s="13"/>
      <c r="C16" s="9"/>
      <c r="D16" s="9"/>
      <c r="E16" s="9"/>
      <c r="F16" s="5"/>
      <c r="G16" s="69"/>
      <c r="H16" s="9"/>
      <c r="I16" s="9"/>
      <c r="J16" s="9"/>
      <c r="K16" s="9"/>
      <c r="L16" s="5"/>
      <c r="M16" s="9"/>
      <c r="N16" s="9"/>
      <c r="O16" s="9"/>
      <c r="P16" s="70"/>
      <c r="Q16" s="9"/>
      <c r="R16" s="5"/>
      <c r="S16" s="64"/>
      <c r="T16" s="15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6" type="noConversion"/>
  <pageMargins left="0.7" right="0.7" top="0.75" bottom="0.75" header="0" footer="0"/>
  <pageSetup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995"/>
  <sheetViews>
    <sheetView topLeftCell="D1" zoomScale="70" zoomScaleNormal="70" workbookViewId="0">
      <selection activeCell="N20" sqref="N20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8.85546875" customWidth="1"/>
    <col min="8" max="8" width="15.71093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6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9">
        <v>1</v>
      </c>
      <c r="B2" s="13">
        <v>45154</v>
      </c>
      <c r="C2" s="80" t="s">
        <v>156</v>
      </c>
      <c r="D2" s="80" t="s">
        <v>157</v>
      </c>
      <c r="E2" s="80">
        <v>92</v>
      </c>
      <c r="F2" s="86" t="s">
        <v>30</v>
      </c>
      <c r="G2" s="91">
        <v>45148</v>
      </c>
      <c r="H2" s="80">
        <f>DAYS360(G2,B2)</f>
        <v>6</v>
      </c>
      <c r="I2" s="80" t="s">
        <v>22</v>
      </c>
      <c r="J2" s="80">
        <v>1</v>
      </c>
      <c r="K2" s="80" t="s">
        <v>17</v>
      </c>
      <c r="L2" s="76" t="s">
        <v>41</v>
      </c>
      <c r="M2" s="80"/>
      <c r="N2" s="80"/>
      <c r="O2" s="80"/>
      <c r="P2" s="80" t="s">
        <v>69</v>
      </c>
      <c r="Q2" s="80" t="s">
        <v>158</v>
      </c>
      <c r="R2" s="80" t="s">
        <v>19</v>
      </c>
      <c r="S2" s="71"/>
    </row>
    <row r="3" spans="1:19" ht="15.75" x14ac:dyDescent="0.25">
      <c r="A3" s="9">
        <v>2</v>
      </c>
      <c r="B3" s="13">
        <v>45154</v>
      </c>
      <c r="C3" s="80" t="s">
        <v>156</v>
      </c>
      <c r="D3" s="80" t="s">
        <v>157</v>
      </c>
      <c r="E3" s="80">
        <v>92</v>
      </c>
      <c r="F3" s="86" t="s">
        <v>30</v>
      </c>
      <c r="G3" s="91">
        <v>45148</v>
      </c>
      <c r="H3" s="80">
        <f t="shared" ref="H3:H27" si="0">DAYS360(G3,B3)</f>
        <v>6</v>
      </c>
      <c r="I3" s="80" t="s">
        <v>22</v>
      </c>
      <c r="J3" s="80">
        <v>1</v>
      </c>
      <c r="K3" s="80" t="s">
        <v>17</v>
      </c>
      <c r="L3" s="76" t="s">
        <v>41</v>
      </c>
      <c r="M3" s="80"/>
      <c r="N3" s="80"/>
      <c r="O3" s="80"/>
      <c r="P3" s="80" t="s">
        <v>69</v>
      </c>
      <c r="Q3" s="80" t="s">
        <v>158</v>
      </c>
      <c r="R3" s="80" t="s">
        <v>19</v>
      </c>
      <c r="S3" s="71"/>
    </row>
    <row r="4" spans="1:19" ht="15.75" x14ac:dyDescent="0.25">
      <c r="A4" s="9">
        <v>3</v>
      </c>
      <c r="B4" s="13">
        <v>45154</v>
      </c>
      <c r="C4" s="16" t="s">
        <v>103</v>
      </c>
      <c r="D4" s="80" t="s">
        <v>104</v>
      </c>
      <c r="E4" s="80">
        <v>82</v>
      </c>
      <c r="F4" s="86" t="s">
        <v>30</v>
      </c>
      <c r="G4" s="91">
        <v>45140</v>
      </c>
      <c r="H4" s="80">
        <f t="shared" si="0"/>
        <v>14</v>
      </c>
      <c r="I4" s="80" t="s">
        <v>22</v>
      </c>
      <c r="J4" s="80">
        <v>1</v>
      </c>
      <c r="K4" s="80" t="s">
        <v>17</v>
      </c>
      <c r="L4" s="76" t="s">
        <v>41</v>
      </c>
      <c r="M4" s="80" t="s">
        <v>27</v>
      </c>
      <c r="N4" s="80"/>
      <c r="O4" s="80"/>
      <c r="P4" s="80"/>
      <c r="Q4" s="80" t="s">
        <v>105</v>
      </c>
      <c r="R4" s="76" t="s">
        <v>19</v>
      </c>
      <c r="S4" s="71"/>
    </row>
    <row r="5" spans="1:19" ht="15.75" x14ac:dyDescent="0.25">
      <c r="A5" s="9">
        <v>4</v>
      </c>
      <c r="B5" s="13">
        <v>45154</v>
      </c>
      <c r="C5" s="16" t="s">
        <v>103</v>
      </c>
      <c r="D5" s="80" t="s">
        <v>104</v>
      </c>
      <c r="E5" s="80">
        <v>82</v>
      </c>
      <c r="F5" s="86" t="s">
        <v>30</v>
      </c>
      <c r="G5" s="91">
        <v>45140</v>
      </c>
      <c r="H5" s="80">
        <f t="shared" si="0"/>
        <v>14</v>
      </c>
      <c r="I5" s="80" t="s">
        <v>22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80" t="s">
        <v>105</v>
      </c>
      <c r="R5" s="76" t="s">
        <v>19</v>
      </c>
      <c r="S5" s="71"/>
    </row>
    <row r="6" spans="1:19" ht="15.75" x14ac:dyDescent="0.25">
      <c r="A6" s="9">
        <v>5</v>
      </c>
      <c r="B6" s="13">
        <v>45154</v>
      </c>
      <c r="C6" s="80" t="s">
        <v>137</v>
      </c>
      <c r="D6" s="80" t="s">
        <v>139</v>
      </c>
      <c r="E6" s="80">
        <v>49</v>
      </c>
      <c r="F6" s="86" t="s">
        <v>30</v>
      </c>
      <c r="G6" s="91">
        <v>45145</v>
      </c>
      <c r="H6" s="80">
        <f t="shared" si="0"/>
        <v>9</v>
      </c>
      <c r="I6" s="80" t="s">
        <v>127</v>
      </c>
      <c r="J6" s="80">
        <v>1.5</v>
      </c>
      <c r="K6" s="80" t="s">
        <v>39</v>
      </c>
      <c r="L6" s="76" t="s">
        <v>41</v>
      </c>
      <c r="M6" s="80" t="s">
        <v>44</v>
      </c>
      <c r="N6" s="80"/>
      <c r="O6" s="80"/>
      <c r="P6" s="80"/>
      <c r="Q6" s="80" t="s">
        <v>140</v>
      </c>
      <c r="R6" s="76" t="s">
        <v>19</v>
      </c>
      <c r="S6" s="64"/>
    </row>
    <row r="7" spans="1:19" ht="15.75" x14ac:dyDescent="0.25">
      <c r="A7" s="9">
        <v>6</v>
      </c>
      <c r="B7" s="13">
        <v>45154</v>
      </c>
      <c r="C7" s="80" t="s">
        <v>163</v>
      </c>
      <c r="D7" s="80" t="s">
        <v>164</v>
      </c>
      <c r="E7" s="80">
        <v>85</v>
      </c>
      <c r="F7" s="86" t="s">
        <v>30</v>
      </c>
      <c r="G7" s="91">
        <v>45152</v>
      </c>
      <c r="H7" s="80">
        <f t="shared" si="0"/>
        <v>2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/>
      <c r="O7" s="80" t="s">
        <v>52</v>
      </c>
      <c r="P7" s="80"/>
      <c r="Q7" s="80" t="s">
        <v>165</v>
      </c>
      <c r="R7" s="80" t="s">
        <v>19</v>
      </c>
      <c r="S7" s="64"/>
    </row>
    <row r="8" spans="1:19" ht="15.75" x14ac:dyDescent="0.25">
      <c r="A8" s="9">
        <v>7</v>
      </c>
      <c r="B8" s="13">
        <v>45154</v>
      </c>
      <c r="C8" s="80" t="s">
        <v>134</v>
      </c>
      <c r="D8" s="80" t="s">
        <v>135</v>
      </c>
      <c r="E8" s="80">
        <v>42</v>
      </c>
      <c r="F8" s="86" t="s">
        <v>30</v>
      </c>
      <c r="G8" s="91">
        <v>45143</v>
      </c>
      <c r="H8" s="80">
        <f t="shared" si="0"/>
        <v>11</v>
      </c>
      <c r="I8" s="80" t="s">
        <v>22</v>
      </c>
      <c r="J8" s="80">
        <v>0.75</v>
      </c>
      <c r="K8" s="80" t="s">
        <v>17</v>
      </c>
      <c r="L8" s="76" t="s">
        <v>41</v>
      </c>
      <c r="M8" s="80"/>
      <c r="N8" s="80"/>
      <c r="O8" s="80" t="s">
        <v>25</v>
      </c>
      <c r="P8" s="80"/>
      <c r="Q8" s="80" t="s">
        <v>58</v>
      </c>
      <c r="R8" s="76" t="s">
        <v>19</v>
      </c>
      <c r="S8" s="64"/>
    </row>
    <row r="9" spans="1:19" ht="15.75" x14ac:dyDescent="0.25">
      <c r="A9" s="9">
        <v>8</v>
      </c>
      <c r="B9" s="13">
        <v>45154</v>
      </c>
      <c r="C9" s="80" t="s">
        <v>98</v>
      </c>
      <c r="D9" s="80" t="s">
        <v>99</v>
      </c>
      <c r="E9" s="80">
        <v>85</v>
      </c>
      <c r="F9" s="86" t="s">
        <v>30</v>
      </c>
      <c r="G9" s="91">
        <v>45138</v>
      </c>
      <c r="H9" s="80">
        <f t="shared" si="0"/>
        <v>16</v>
      </c>
      <c r="I9" s="80" t="s">
        <v>16</v>
      </c>
      <c r="J9" s="80">
        <v>1</v>
      </c>
      <c r="K9" s="80" t="s">
        <v>17</v>
      </c>
      <c r="L9" s="76" t="s">
        <v>41</v>
      </c>
      <c r="M9" s="80" t="s">
        <v>44</v>
      </c>
      <c r="N9" s="80"/>
      <c r="O9" s="80"/>
      <c r="P9" s="80"/>
      <c r="Q9" s="80" t="s">
        <v>101</v>
      </c>
      <c r="R9" s="76" t="s">
        <v>19</v>
      </c>
      <c r="S9" s="64"/>
    </row>
    <row r="10" spans="1:19" ht="15.75" x14ac:dyDescent="0.25">
      <c r="A10" s="9">
        <v>9</v>
      </c>
      <c r="B10" s="13">
        <v>45154</v>
      </c>
      <c r="C10" s="80" t="s">
        <v>166</v>
      </c>
      <c r="D10" s="80" t="s">
        <v>167</v>
      </c>
      <c r="E10" s="80">
        <v>86</v>
      </c>
      <c r="F10" s="86" t="s">
        <v>30</v>
      </c>
      <c r="G10" s="91">
        <v>45153</v>
      </c>
      <c r="H10" s="80">
        <f t="shared" si="0"/>
        <v>1</v>
      </c>
      <c r="I10" s="80" t="s">
        <v>22</v>
      </c>
      <c r="J10" s="80">
        <v>1</v>
      </c>
      <c r="K10" s="80" t="s">
        <v>39</v>
      </c>
      <c r="L10" s="76" t="s">
        <v>41</v>
      </c>
      <c r="M10" s="80"/>
      <c r="N10" s="80"/>
      <c r="O10" s="80" t="s">
        <v>25</v>
      </c>
      <c r="P10" s="80"/>
      <c r="Q10" s="80" t="s">
        <v>68</v>
      </c>
      <c r="R10" s="80" t="s">
        <v>19</v>
      </c>
      <c r="S10" s="64"/>
    </row>
    <row r="11" spans="1:19" ht="15.75" x14ac:dyDescent="0.25">
      <c r="A11" s="9">
        <v>10</v>
      </c>
      <c r="B11" s="13">
        <v>45154</v>
      </c>
      <c r="C11" s="80" t="s">
        <v>146</v>
      </c>
      <c r="D11" s="80" t="s">
        <v>147</v>
      </c>
      <c r="E11" s="80">
        <v>88</v>
      </c>
      <c r="F11" s="86" t="s">
        <v>30</v>
      </c>
      <c r="G11" s="91">
        <v>45147</v>
      </c>
      <c r="H11" s="80">
        <f t="shared" si="0"/>
        <v>7</v>
      </c>
      <c r="I11" s="80" t="s">
        <v>26</v>
      </c>
      <c r="J11" s="80">
        <v>1</v>
      </c>
      <c r="K11" s="80" t="s">
        <v>17</v>
      </c>
      <c r="L11" s="76" t="s">
        <v>41</v>
      </c>
      <c r="M11" s="80" t="s">
        <v>27</v>
      </c>
      <c r="N11" s="80"/>
      <c r="O11" s="80"/>
      <c r="P11" s="80"/>
      <c r="Q11" s="80" t="s">
        <v>148</v>
      </c>
      <c r="R11" s="80"/>
      <c r="S11" s="64"/>
    </row>
    <row r="12" spans="1:19" ht="15.75" x14ac:dyDescent="0.25">
      <c r="A12" s="9">
        <v>11</v>
      </c>
      <c r="B12" s="13">
        <v>45154</v>
      </c>
      <c r="C12" s="80" t="s">
        <v>146</v>
      </c>
      <c r="D12" s="80" t="s">
        <v>147</v>
      </c>
      <c r="E12" s="80">
        <v>88</v>
      </c>
      <c r="F12" s="86" t="s">
        <v>30</v>
      </c>
      <c r="G12" s="91">
        <v>45147</v>
      </c>
      <c r="H12" s="80">
        <f t="shared" si="0"/>
        <v>7</v>
      </c>
      <c r="I12" s="80" t="s">
        <v>26</v>
      </c>
      <c r="J12" s="80">
        <v>1</v>
      </c>
      <c r="K12" s="80" t="s">
        <v>17</v>
      </c>
      <c r="L12" s="76" t="s">
        <v>41</v>
      </c>
      <c r="M12" s="80"/>
      <c r="N12" s="80" t="s">
        <v>52</v>
      </c>
      <c r="O12" s="80"/>
      <c r="P12" s="80"/>
      <c r="Q12" s="80" t="s">
        <v>148</v>
      </c>
      <c r="R12" s="80" t="s">
        <v>19</v>
      </c>
      <c r="S12" s="64"/>
    </row>
    <row r="13" spans="1:19" ht="15.75" x14ac:dyDescent="0.25">
      <c r="A13" s="9">
        <v>12</v>
      </c>
      <c r="B13" s="13">
        <v>45154</v>
      </c>
      <c r="C13" s="77" t="s">
        <v>47</v>
      </c>
      <c r="D13" s="77" t="s">
        <v>48</v>
      </c>
      <c r="E13" s="77">
        <v>73</v>
      </c>
      <c r="F13" s="86" t="s">
        <v>30</v>
      </c>
      <c r="G13" s="95">
        <v>45150</v>
      </c>
      <c r="H13" s="80">
        <f t="shared" si="0"/>
        <v>4</v>
      </c>
      <c r="I13" s="77" t="s">
        <v>16</v>
      </c>
      <c r="J13" s="77">
        <v>1.5</v>
      </c>
      <c r="K13" s="77" t="s">
        <v>17</v>
      </c>
      <c r="L13" s="76" t="s">
        <v>41</v>
      </c>
      <c r="M13" s="77" t="s">
        <v>32</v>
      </c>
      <c r="N13" s="77"/>
      <c r="O13" s="77"/>
      <c r="P13" s="77"/>
      <c r="Q13" s="77" t="s">
        <v>49</v>
      </c>
      <c r="R13" s="76" t="s">
        <v>19</v>
      </c>
      <c r="S13" s="64"/>
    </row>
    <row r="14" spans="1:19" ht="15.75" x14ac:dyDescent="0.25">
      <c r="A14" s="9">
        <v>13</v>
      </c>
      <c r="B14" s="13">
        <v>45154</v>
      </c>
      <c r="C14" s="80" t="s">
        <v>121</v>
      </c>
      <c r="D14" s="80" t="s">
        <v>123</v>
      </c>
      <c r="E14" s="80">
        <v>82</v>
      </c>
      <c r="F14" s="86" t="s">
        <v>30</v>
      </c>
      <c r="G14" s="91">
        <v>45142</v>
      </c>
      <c r="H14" s="80">
        <f t="shared" si="0"/>
        <v>12</v>
      </c>
      <c r="I14" s="80" t="s">
        <v>127</v>
      </c>
      <c r="J14" s="80">
        <v>1</v>
      </c>
      <c r="K14" s="80" t="s">
        <v>39</v>
      </c>
      <c r="L14" s="76" t="s">
        <v>41</v>
      </c>
      <c r="M14" s="80" t="s">
        <v>32</v>
      </c>
      <c r="N14" s="80"/>
      <c r="O14" s="80"/>
      <c r="P14" s="80"/>
      <c r="Q14" s="80" t="s">
        <v>129</v>
      </c>
      <c r="R14" s="76" t="s">
        <v>19</v>
      </c>
      <c r="S14" s="64"/>
    </row>
    <row r="15" spans="1:19" ht="15.75" x14ac:dyDescent="0.25">
      <c r="A15" s="9">
        <v>14</v>
      </c>
      <c r="B15" s="13">
        <v>45154</v>
      </c>
      <c r="C15" s="80" t="s">
        <v>149</v>
      </c>
      <c r="D15" s="80" t="s">
        <v>150</v>
      </c>
      <c r="E15" s="80">
        <v>73</v>
      </c>
      <c r="F15" s="86" t="s">
        <v>30</v>
      </c>
      <c r="G15" s="91">
        <v>45146</v>
      </c>
      <c r="H15" s="80">
        <f t="shared" si="0"/>
        <v>8</v>
      </c>
      <c r="I15" s="80" t="s">
        <v>22</v>
      </c>
      <c r="J15" s="80">
        <v>1.5</v>
      </c>
      <c r="K15" s="80" t="s">
        <v>39</v>
      </c>
      <c r="L15" s="76" t="s">
        <v>41</v>
      </c>
      <c r="M15" s="80" t="s">
        <v>32</v>
      </c>
      <c r="N15" s="80"/>
      <c r="O15" s="80"/>
      <c r="P15" s="80"/>
      <c r="Q15" s="80" t="s">
        <v>151</v>
      </c>
      <c r="R15" s="80" t="s">
        <v>19</v>
      </c>
      <c r="S15" s="64"/>
    </row>
    <row r="16" spans="1:19" ht="15.75" x14ac:dyDescent="0.25">
      <c r="A16" s="9">
        <v>15</v>
      </c>
      <c r="B16" s="13">
        <v>45154</v>
      </c>
      <c r="C16" s="80" t="s">
        <v>95</v>
      </c>
      <c r="D16" s="80" t="s">
        <v>96</v>
      </c>
      <c r="E16" s="80">
        <v>74</v>
      </c>
      <c r="F16" s="86" t="s">
        <v>30</v>
      </c>
      <c r="G16" s="91">
        <v>45138</v>
      </c>
      <c r="H16" s="80">
        <f t="shared" si="0"/>
        <v>16</v>
      </c>
      <c r="I16" s="80" t="s">
        <v>97</v>
      </c>
      <c r="J16" s="80">
        <v>1.5</v>
      </c>
      <c r="K16" s="80" t="s">
        <v>17</v>
      </c>
      <c r="L16" s="76" t="s">
        <v>41</v>
      </c>
      <c r="M16" s="80" t="s">
        <v>44</v>
      </c>
      <c r="N16" s="80"/>
      <c r="O16" s="80"/>
      <c r="P16" s="80"/>
      <c r="Q16" s="80" t="s">
        <v>100</v>
      </c>
      <c r="R16" s="76" t="s">
        <v>19</v>
      </c>
      <c r="S16" s="64"/>
    </row>
    <row r="17" spans="1:19" ht="15.75" x14ac:dyDescent="0.25">
      <c r="A17" s="9">
        <v>16</v>
      </c>
      <c r="B17" s="13">
        <v>45154</v>
      </c>
      <c r="C17" s="80" t="s">
        <v>160</v>
      </c>
      <c r="D17" s="80" t="s">
        <v>161</v>
      </c>
      <c r="E17" s="80">
        <v>58</v>
      </c>
      <c r="F17" s="86" t="s">
        <v>30</v>
      </c>
      <c r="G17" s="91">
        <v>45150</v>
      </c>
      <c r="H17" s="80">
        <f t="shared" si="0"/>
        <v>4</v>
      </c>
      <c r="I17" s="80" t="s">
        <v>26</v>
      </c>
      <c r="J17" s="80">
        <v>1</v>
      </c>
      <c r="K17" s="80" t="s">
        <v>17</v>
      </c>
      <c r="L17" s="76" t="s">
        <v>41</v>
      </c>
      <c r="M17" s="80"/>
      <c r="N17" s="80" t="s">
        <v>52</v>
      </c>
      <c r="O17" s="80"/>
      <c r="P17" s="80"/>
      <c r="Q17" s="80" t="s">
        <v>162</v>
      </c>
      <c r="R17" s="80" t="s">
        <v>19</v>
      </c>
      <c r="S17" s="64"/>
    </row>
    <row r="18" spans="1:19" ht="15.75" x14ac:dyDescent="0.25">
      <c r="A18" s="9">
        <v>17</v>
      </c>
      <c r="B18" s="13">
        <v>45154</v>
      </c>
      <c r="C18" s="80" t="s">
        <v>113</v>
      </c>
      <c r="D18" s="80" t="s">
        <v>115</v>
      </c>
      <c r="E18" s="80">
        <v>60</v>
      </c>
      <c r="F18" s="86" t="s">
        <v>30</v>
      </c>
      <c r="G18" s="91">
        <v>45141</v>
      </c>
      <c r="H18" s="80">
        <f t="shared" si="0"/>
        <v>13</v>
      </c>
      <c r="I18" s="80" t="s">
        <v>26</v>
      </c>
      <c r="J18" s="80">
        <v>1</v>
      </c>
      <c r="K18" s="80" t="s">
        <v>17</v>
      </c>
      <c r="L18" s="76" t="s">
        <v>41</v>
      </c>
      <c r="M18" s="80"/>
      <c r="N18" s="80" t="s">
        <v>27</v>
      </c>
      <c r="O18" s="80"/>
      <c r="P18" s="80"/>
      <c r="Q18" s="80" t="s">
        <v>116</v>
      </c>
      <c r="R18" s="76" t="s">
        <v>19</v>
      </c>
      <c r="S18" s="64"/>
    </row>
    <row r="19" spans="1:19" ht="15.75" x14ac:dyDescent="0.25">
      <c r="A19" s="9">
        <v>18</v>
      </c>
      <c r="B19" s="13">
        <v>45154</v>
      </c>
      <c r="C19" s="80" t="s">
        <v>154</v>
      </c>
      <c r="D19" s="80" t="s">
        <v>155</v>
      </c>
      <c r="E19" s="80">
        <v>31</v>
      </c>
      <c r="F19" s="86" t="s">
        <v>30</v>
      </c>
      <c r="G19" s="91">
        <v>45149</v>
      </c>
      <c r="H19" s="80">
        <f t="shared" si="0"/>
        <v>5</v>
      </c>
      <c r="I19" s="80" t="s">
        <v>22</v>
      </c>
      <c r="J19" s="80">
        <v>1</v>
      </c>
      <c r="K19" s="80" t="s">
        <v>17</v>
      </c>
      <c r="L19" s="76" t="s">
        <v>41</v>
      </c>
      <c r="M19" s="80"/>
      <c r="N19" s="80"/>
      <c r="O19" s="80" t="s">
        <v>25</v>
      </c>
      <c r="P19" s="80"/>
      <c r="Q19" s="80" t="s">
        <v>58</v>
      </c>
      <c r="R19" s="80" t="s">
        <v>19</v>
      </c>
      <c r="S19" s="64"/>
    </row>
    <row r="20" spans="1:19" ht="15.75" x14ac:dyDescent="0.25">
      <c r="A20" s="9">
        <v>19</v>
      </c>
      <c r="B20" s="13">
        <v>45154</v>
      </c>
      <c r="C20" s="80" t="s">
        <v>117</v>
      </c>
      <c r="D20" s="80" t="s">
        <v>118</v>
      </c>
      <c r="E20" s="80">
        <v>78</v>
      </c>
      <c r="F20" s="86" t="s">
        <v>30</v>
      </c>
      <c r="G20" s="91">
        <v>45141</v>
      </c>
      <c r="H20" s="80">
        <f t="shared" si="0"/>
        <v>13</v>
      </c>
      <c r="I20" s="80" t="s">
        <v>16</v>
      </c>
      <c r="J20" s="80">
        <v>1.5</v>
      </c>
      <c r="K20" s="80" t="s">
        <v>39</v>
      </c>
      <c r="L20" s="76" t="s">
        <v>41</v>
      </c>
      <c r="M20" s="80" t="s">
        <v>44</v>
      </c>
      <c r="N20" s="80"/>
      <c r="O20" s="80"/>
      <c r="P20" s="80"/>
      <c r="Q20" s="80" t="s">
        <v>119</v>
      </c>
      <c r="R20" s="76" t="s">
        <v>19</v>
      </c>
      <c r="S20" s="64"/>
    </row>
    <row r="21" spans="1:19" ht="15.75" x14ac:dyDescent="0.25">
      <c r="A21" s="9">
        <v>20</v>
      </c>
      <c r="B21" s="13">
        <v>45154</v>
      </c>
      <c r="C21" s="85" t="s">
        <v>42</v>
      </c>
      <c r="D21" s="86" t="s">
        <v>43</v>
      </c>
      <c r="E21" s="86">
        <v>41</v>
      </c>
      <c r="F21" s="86" t="s">
        <v>30</v>
      </c>
      <c r="G21" s="69">
        <v>45114</v>
      </c>
      <c r="H21" s="80">
        <f t="shared" si="0"/>
        <v>39</v>
      </c>
      <c r="I21" s="86" t="s">
        <v>22</v>
      </c>
      <c r="J21" s="86">
        <v>1</v>
      </c>
      <c r="K21" s="86" t="s">
        <v>39</v>
      </c>
      <c r="L21" s="76" t="s">
        <v>41</v>
      </c>
      <c r="M21" s="86" t="s">
        <v>44</v>
      </c>
      <c r="N21" s="86"/>
      <c r="O21" s="86"/>
      <c r="P21" s="86"/>
      <c r="Q21" s="86" t="s">
        <v>45</v>
      </c>
      <c r="R21" s="76" t="s">
        <v>19</v>
      </c>
      <c r="S21" s="64"/>
    </row>
    <row r="22" spans="1:19" ht="15.75" x14ac:dyDescent="0.25">
      <c r="A22" s="9">
        <v>21</v>
      </c>
      <c r="B22" s="13">
        <v>45154</v>
      </c>
      <c r="C22" s="80" t="s">
        <v>152</v>
      </c>
      <c r="D22" s="80" t="s">
        <v>153</v>
      </c>
      <c r="E22" s="80">
        <v>60</v>
      </c>
      <c r="F22" s="86" t="s">
        <v>30</v>
      </c>
      <c r="G22" s="91">
        <v>45147</v>
      </c>
      <c r="H22" s="80">
        <f t="shared" si="0"/>
        <v>7</v>
      </c>
      <c r="I22" s="80" t="s">
        <v>22</v>
      </c>
      <c r="J22" s="80">
        <v>1</v>
      </c>
      <c r="K22" s="80" t="s">
        <v>39</v>
      </c>
      <c r="L22" s="76" t="s">
        <v>41</v>
      </c>
      <c r="M22" s="80" t="s">
        <v>44</v>
      </c>
      <c r="N22" s="80"/>
      <c r="O22" s="80"/>
      <c r="P22" s="80"/>
      <c r="Q22" s="80" t="s">
        <v>76</v>
      </c>
      <c r="R22" s="80" t="s">
        <v>19</v>
      </c>
      <c r="S22" s="64"/>
    </row>
    <row r="23" spans="1:19" ht="15.75" x14ac:dyDescent="0.25">
      <c r="A23" s="9">
        <v>22</v>
      </c>
      <c r="B23" s="13">
        <v>45154</v>
      </c>
      <c r="C23" s="80" t="s">
        <v>152</v>
      </c>
      <c r="D23" s="80" t="s">
        <v>153</v>
      </c>
      <c r="E23" s="80">
        <v>60</v>
      </c>
      <c r="F23" s="86" t="s">
        <v>30</v>
      </c>
      <c r="G23" s="91">
        <v>45147</v>
      </c>
      <c r="H23" s="80">
        <f t="shared" si="0"/>
        <v>7</v>
      </c>
      <c r="I23" s="80" t="s">
        <v>22</v>
      </c>
      <c r="J23" s="80">
        <v>1</v>
      </c>
      <c r="K23" s="80" t="s">
        <v>39</v>
      </c>
      <c r="L23" s="76" t="s">
        <v>41</v>
      </c>
      <c r="M23" s="80"/>
      <c r="N23" s="80" t="s">
        <v>27</v>
      </c>
      <c r="O23" s="80"/>
      <c r="P23" s="80"/>
      <c r="Q23" s="80" t="s">
        <v>76</v>
      </c>
      <c r="R23" s="80" t="s">
        <v>19</v>
      </c>
      <c r="S23" s="64"/>
    </row>
    <row r="24" spans="1:19" ht="15.75" customHeight="1" x14ac:dyDescent="0.25">
      <c r="A24" s="9">
        <v>23</v>
      </c>
      <c r="B24" s="13">
        <v>45154</v>
      </c>
      <c r="C24" s="80" t="s">
        <v>79</v>
      </c>
      <c r="D24" s="80" t="s">
        <v>80</v>
      </c>
      <c r="E24" s="80">
        <v>66</v>
      </c>
      <c r="F24" s="86" t="s">
        <v>30</v>
      </c>
      <c r="G24" s="91">
        <v>45128</v>
      </c>
      <c r="H24" s="80">
        <f t="shared" si="0"/>
        <v>25</v>
      </c>
      <c r="I24" s="80" t="s">
        <v>16</v>
      </c>
      <c r="J24" s="80">
        <v>1</v>
      </c>
      <c r="K24" s="80" t="s">
        <v>17</v>
      </c>
      <c r="L24" s="76" t="s">
        <v>41</v>
      </c>
      <c r="M24" s="80" t="s">
        <v>27</v>
      </c>
      <c r="N24" s="80"/>
      <c r="O24" s="80"/>
      <c r="P24" s="80"/>
      <c r="Q24" s="80" t="s">
        <v>76</v>
      </c>
      <c r="R24" s="76" t="s">
        <v>19</v>
      </c>
      <c r="S24" s="93"/>
    </row>
    <row r="25" spans="1:19" ht="15.75" customHeight="1" x14ac:dyDescent="0.25">
      <c r="A25" s="9">
        <v>24</v>
      </c>
      <c r="B25" s="13">
        <v>45154</v>
      </c>
      <c r="C25" s="80" t="s">
        <v>125</v>
      </c>
      <c r="D25" s="80" t="s">
        <v>126</v>
      </c>
      <c r="E25" s="80">
        <v>75</v>
      </c>
      <c r="F25" s="86" t="s">
        <v>30</v>
      </c>
      <c r="G25" s="91">
        <v>45142</v>
      </c>
      <c r="H25" s="80">
        <f t="shared" si="0"/>
        <v>12</v>
      </c>
      <c r="I25" s="80" t="s">
        <v>24</v>
      </c>
      <c r="J25" s="80">
        <v>1</v>
      </c>
      <c r="K25" s="80" t="s">
        <v>17</v>
      </c>
      <c r="L25" s="76" t="s">
        <v>41</v>
      </c>
      <c r="M25" s="80"/>
      <c r="N25" s="80" t="s">
        <v>46</v>
      </c>
      <c r="O25" s="80"/>
      <c r="P25" s="80"/>
      <c r="Q25" s="80" t="s">
        <v>131</v>
      </c>
      <c r="R25" s="76" t="s">
        <v>19</v>
      </c>
      <c r="S25" s="93"/>
    </row>
    <row r="26" spans="1:19" ht="15.75" customHeight="1" x14ac:dyDescent="0.25">
      <c r="A26" s="9">
        <v>25</v>
      </c>
      <c r="B26" s="13">
        <v>45154</v>
      </c>
      <c r="C26" s="80" t="s">
        <v>122</v>
      </c>
      <c r="D26" s="80" t="s">
        <v>124</v>
      </c>
      <c r="E26" s="80">
        <v>71</v>
      </c>
      <c r="F26" s="86" t="s">
        <v>30</v>
      </c>
      <c r="G26" s="91">
        <v>45142</v>
      </c>
      <c r="H26" s="80">
        <f t="shared" si="0"/>
        <v>12</v>
      </c>
      <c r="I26" s="80" t="s">
        <v>24</v>
      </c>
      <c r="J26" s="80">
        <v>1</v>
      </c>
      <c r="K26" s="80" t="s">
        <v>17</v>
      </c>
      <c r="L26" s="76" t="s">
        <v>41</v>
      </c>
      <c r="M26" s="80" t="s">
        <v>27</v>
      </c>
      <c r="N26" s="80"/>
      <c r="O26" s="80"/>
      <c r="P26" s="80"/>
      <c r="Q26" s="80" t="s">
        <v>130</v>
      </c>
      <c r="R26" s="76" t="s">
        <v>19</v>
      </c>
      <c r="S26" s="93"/>
    </row>
    <row r="27" spans="1:19" ht="15.75" customHeight="1" x14ac:dyDescent="0.25">
      <c r="A27" s="9">
        <v>26</v>
      </c>
      <c r="B27" s="13">
        <v>45154</v>
      </c>
      <c r="C27" s="80" t="s">
        <v>154</v>
      </c>
      <c r="D27" s="80" t="s">
        <v>155</v>
      </c>
      <c r="E27" s="80">
        <v>31</v>
      </c>
      <c r="F27" s="86" t="s">
        <v>30</v>
      </c>
      <c r="G27" s="91">
        <v>45149</v>
      </c>
      <c r="H27" s="80">
        <f t="shared" si="0"/>
        <v>5</v>
      </c>
      <c r="I27" s="80" t="s">
        <v>22</v>
      </c>
      <c r="J27" s="80">
        <v>1</v>
      </c>
      <c r="K27" s="80" t="s">
        <v>17</v>
      </c>
      <c r="L27" s="76" t="s">
        <v>41</v>
      </c>
      <c r="M27" s="80"/>
      <c r="N27" s="80"/>
      <c r="O27" s="80" t="s">
        <v>25</v>
      </c>
      <c r="P27" s="80"/>
      <c r="Q27" s="80" t="s">
        <v>58</v>
      </c>
      <c r="R27" s="80" t="s">
        <v>19</v>
      </c>
      <c r="S27" s="93"/>
    </row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001"/>
  <sheetViews>
    <sheetView zoomScale="80" zoomScaleNormal="80" workbookViewId="0">
      <selection activeCell="C21" sqref="C21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style="98" customWidth="1"/>
    <col min="6" max="6" width="10.7109375" customWidth="1"/>
    <col min="7" max="7" width="13" customWidth="1"/>
    <col min="8" max="8" width="7.140625" style="98" customWidth="1"/>
    <col min="9" max="9" width="13.7109375" customWidth="1"/>
    <col min="10" max="10" width="8.7109375" style="101" customWidth="1"/>
    <col min="11" max="11" width="13.140625" customWidth="1"/>
    <col min="12" max="12" width="4.85546875" customWidth="1"/>
    <col min="13" max="13" width="12.140625" customWidth="1"/>
    <col min="14" max="14" width="13.140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99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28">
        <v>1</v>
      </c>
      <c r="B2" s="92">
        <v>45155</v>
      </c>
      <c r="C2" s="16" t="s">
        <v>103</v>
      </c>
      <c r="D2" s="80" t="s">
        <v>104</v>
      </c>
      <c r="E2" s="80">
        <v>82</v>
      </c>
      <c r="F2" s="80"/>
      <c r="G2" s="91">
        <v>45140</v>
      </c>
      <c r="H2" s="80"/>
      <c r="I2" s="80" t="s">
        <v>22</v>
      </c>
      <c r="J2" s="80">
        <v>0.75</v>
      </c>
      <c r="K2" s="80" t="s">
        <v>17</v>
      </c>
      <c r="L2" s="76" t="s">
        <v>41</v>
      </c>
      <c r="M2" s="80" t="s">
        <v>9</v>
      </c>
      <c r="N2" s="80"/>
      <c r="O2" s="80"/>
      <c r="P2" s="80"/>
      <c r="Q2" s="80" t="s">
        <v>105</v>
      </c>
      <c r="R2" s="76" t="s">
        <v>19</v>
      </c>
      <c r="S2" s="93"/>
    </row>
    <row r="3" spans="1:19" ht="15.75" x14ac:dyDescent="0.25">
      <c r="A3" s="28">
        <v>2</v>
      </c>
      <c r="B3" s="92">
        <v>45155</v>
      </c>
      <c r="C3" s="16" t="s">
        <v>103</v>
      </c>
      <c r="D3" s="80" t="s">
        <v>104</v>
      </c>
      <c r="E3" s="80">
        <v>82</v>
      </c>
      <c r="F3" s="80"/>
      <c r="G3" s="91">
        <v>45140</v>
      </c>
      <c r="H3" s="80"/>
      <c r="I3" s="80" t="s">
        <v>22</v>
      </c>
      <c r="J3" s="80">
        <v>0.75</v>
      </c>
      <c r="K3" s="80" t="s">
        <v>17</v>
      </c>
      <c r="L3" s="76" t="s">
        <v>41</v>
      </c>
      <c r="M3" s="80" t="s">
        <v>9</v>
      </c>
      <c r="N3" s="80"/>
      <c r="O3" s="80"/>
      <c r="P3" s="80"/>
      <c r="Q3" s="80" t="s">
        <v>105</v>
      </c>
      <c r="R3" s="76" t="s">
        <v>19</v>
      </c>
      <c r="S3" s="93"/>
    </row>
    <row r="4" spans="1:19" ht="15.75" x14ac:dyDescent="0.25">
      <c r="A4" s="28">
        <v>3</v>
      </c>
      <c r="B4" s="92">
        <v>45155</v>
      </c>
      <c r="C4" s="16" t="s">
        <v>103</v>
      </c>
      <c r="D4" s="80" t="s">
        <v>104</v>
      </c>
      <c r="E4" s="80">
        <v>82</v>
      </c>
      <c r="F4" s="80"/>
      <c r="G4" s="91">
        <v>45140</v>
      </c>
      <c r="H4" s="80"/>
      <c r="I4" s="80" t="s">
        <v>22</v>
      </c>
      <c r="J4" s="80">
        <v>1</v>
      </c>
      <c r="K4" s="80" t="s">
        <v>17</v>
      </c>
      <c r="L4" s="76" t="s">
        <v>41</v>
      </c>
      <c r="M4" s="80" t="s">
        <v>27</v>
      </c>
      <c r="N4" s="80"/>
      <c r="O4" s="80"/>
      <c r="P4" s="80"/>
      <c r="Q4" s="80" t="s">
        <v>105</v>
      </c>
      <c r="R4" s="76" t="s">
        <v>19</v>
      </c>
      <c r="S4" s="93"/>
    </row>
    <row r="5" spans="1:19" ht="15.75" x14ac:dyDescent="0.25">
      <c r="A5" s="28">
        <v>4</v>
      </c>
      <c r="B5" s="92">
        <v>45155</v>
      </c>
      <c r="C5" s="80" t="s">
        <v>117</v>
      </c>
      <c r="D5" s="80" t="s">
        <v>118</v>
      </c>
      <c r="E5" s="80">
        <v>78</v>
      </c>
      <c r="F5" s="80"/>
      <c r="G5" s="91">
        <v>45141</v>
      </c>
      <c r="H5" s="80"/>
      <c r="I5" s="80" t="s">
        <v>16</v>
      </c>
      <c r="J5" s="80">
        <v>1.5</v>
      </c>
      <c r="K5" s="80" t="s">
        <v>39</v>
      </c>
      <c r="L5" s="76" t="s">
        <v>41</v>
      </c>
      <c r="M5" s="80" t="s">
        <v>44</v>
      </c>
      <c r="N5" s="80"/>
      <c r="O5" s="80"/>
      <c r="P5" s="80"/>
      <c r="Q5" s="80" t="s">
        <v>119</v>
      </c>
      <c r="R5" s="76" t="s">
        <v>19</v>
      </c>
      <c r="S5" s="93"/>
    </row>
    <row r="6" spans="1:19" ht="15.75" x14ac:dyDescent="0.25">
      <c r="A6" s="28">
        <v>5</v>
      </c>
      <c r="B6" s="92">
        <v>45155</v>
      </c>
      <c r="C6" s="80" t="s">
        <v>152</v>
      </c>
      <c r="D6" s="80" t="s">
        <v>153</v>
      </c>
      <c r="E6" s="80">
        <v>60</v>
      </c>
      <c r="F6" s="80"/>
      <c r="G6" s="91">
        <v>45147</v>
      </c>
      <c r="H6" s="80"/>
      <c r="I6" s="80" t="s">
        <v>22</v>
      </c>
      <c r="J6" s="80">
        <v>1</v>
      </c>
      <c r="K6" s="80" t="s">
        <v>39</v>
      </c>
      <c r="L6" s="76" t="s">
        <v>41</v>
      </c>
      <c r="M6" s="80"/>
      <c r="N6" s="80" t="s">
        <v>27</v>
      </c>
      <c r="O6" s="80"/>
      <c r="P6" s="80"/>
      <c r="Q6" s="80" t="s">
        <v>76</v>
      </c>
      <c r="R6" s="80" t="s">
        <v>19</v>
      </c>
      <c r="S6" s="93"/>
    </row>
    <row r="7" spans="1:19" ht="15.75" x14ac:dyDescent="0.25">
      <c r="A7" s="28">
        <v>6</v>
      </c>
      <c r="B7" s="92">
        <v>45155</v>
      </c>
      <c r="C7" s="77" t="s">
        <v>47</v>
      </c>
      <c r="D7" s="77" t="s">
        <v>48</v>
      </c>
      <c r="E7" s="77">
        <v>73</v>
      </c>
      <c r="F7" s="77"/>
      <c r="G7" s="95">
        <v>45150</v>
      </c>
      <c r="H7" s="78"/>
      <c r="I7" s="77" t="s">
        <v>16</v>
      </c>
      <c r="J7" s="77">
        <v>1</v>
      </c>
      <c r="K7" s="77" t="s">
        <v>17</v>
      </c>
      <c r="L7" s="76" t="s">
        <v>41</v>
      </c>
      <c r="M7" s="77" t="s">
        <v>32</v>
      </c>
      <c r="N7" s="77"/>
      <c r="O7" s="77"/>
      <c r="P7" s="77"/>
      <c r="Q7" s="77" t="s">
        <v>49</v>
      </c>
      <c r="R7" s="76" t="s">
        <v>19</v>
      </c>
      <c r="S7" s="93"/>
    </row>
    <row r="8" spans="1:19" ht="15.75" x14ac:dyDescent="0.25">
      <c r="A8" s="28">
        <v>7</v>
      </c>
      <c r="B8" s="92">
        <v>45155</v>
      </c>
      <c r="C8" s="80" t="s">
        <v>156</v>
      </c>
      <c r="D8" s="80" t="s">
        <v>157</v>
      </c>
      <c r="E8" s="80">
        <v>92</v>
      </c>
      <c r="F8" s="80"/>
      <c r="G8" s="91">
        <v>45148</v>
      </c>
      <c r="H8" s="80"/>
      <c r="I8" s="80" t="s">
        <v>22</v>
      </c>
      <c r="J8" s="80">
        <v>1</v>
      </c>
      <c r="K8" s="80" t="s">
        <v>17</v>
      </c>
      <c r="L8" s="76" t="s">
        <v>41</v>
      </c>
      <c r="M8" s="80"/>
      <c r="N8" s="80"/>
      <c r="O8" s="80"/>
      <c r="P8" s="80" t="s">
        <v>69</v>
      </c>
      <c r="Q8" s="80" t="s">
        <v>158</v>
      </c>
      <c r="R8" s="80" t="s">
        <v>19</v>
      </c>
      <c r="S8" s="93"/>
    </row>
    <row r="9" spans="1:19" ht="15.75" x14ac:dyDescent="0.25">
      <c r="A9" s="28">
        <v>8</v>
      </c>
      <c r="B9" s="92">
        <v>45155</v>
      </c>
      <c r="C9" s="80" t="s">
        <v>156</v>
      </c>
      <c r="D9" s="80" t="s">
        <v>157</v>
      </c>
      <c r="E9" s="80">
        <v>92</v>
      </c>
      <c r="F9" s="80"/>
      <c r="G9" s="91">
        <v>45148</v>
      </c>
      <c r="H9" s="80"/>
      <c r="I9" s="80" t="s">
        <v>22</v>
      </c>
      <c r="J9" s="80">
        <v>1</v>
      </c>
      <c r="K9" s="80" t="s">
        <v>17</v>
      </c>
      <c r="L9" s="76" t="s">
        <v>41</v>
      </c>
      <c r="M9" s="80"/>
      <c r="N9" s="80"/>
      <c r="O9" s="80"/>
      <c r="P9" s="80" t="s">
        <v>69</v>
      </c>
      <c r="Q9" s="80" t="s">
        <v>158</v>
      </c>
      <c r="R9" s="80" t="s">
        <v>19</v>
      </c>
      <c r="S9" s="93"/>
    </row>
    <row r="10" spans="1:19" ht="15.75" x14ac:dyDescent="0.25">
      <c r="A10" s="28">
        <v>9</v>
      </c>
      <c r="B10" s="92">
        <v>45155</v>
      </c>
      <c r="C10" s="80" t="s">
        <v>121</v>
      </c>
      <c r="D10" s="80" t="s">
        <v>123</v>
      </c>
      <c r="E10" s="80">
        <v>82</v>
      </c>
      <c r="F10" s="80"/>
      <c r="G10" s="91">
        <v>45142</v>
      </c>
      <c r="H10" s="80"/>
      <c r="I10" s="80" t="s">
        <v>127</v>
      </c>
      <c r="J10" s="80">
        <v>1</v>
      </c>
      <c r="K10" s="80" t="s">
        <v>39</v>
      </c>
      <c r="L10" s="76" t="s">
        <v>41</v>
      </c>
      <c r="M10" s="80" t="s">
        <v>32</v>
      </c>
      <c r="N10" s="80"/>
      <c r="O10" s="80"/>
      <c r="P10" s="80"/>
      <c r="Q10" s="80" t="s">
        <v>129</v>
      </c>
      <c r="R10" s="76" t="s">
        <v>19</v>
      </c>
      <c r="S10" s="93"/>
    </row>
    <row r="11" spans="1:19" ht="15.75" x14ac:dyDescent="0.25">
      <c r="A11" s="28">
        <v>10</v>
      </c>
      <c r="B11" s="92">
        <v>45155</v>
      </c>
      <c r="C11" s="80" t="s">
        <v>134</v>
      </c>
      <c r="D11" s="80" t="s">
        <v>135</v>
      </c>
      <c r="E11" s="80">
        <v>42</v>
      </c>
      <c r="F11" s="80"/>
      <c r="G11" s="91">
        <v>45143</v>
      </c>
      <c r="H11" s="80"/>
      <c r="I11" s="80" t="s">
        <v>22</v>
      </c>
      <c r="J11" s="80">
        <v>0.75</v>
      </c>
      <c r="K11" s="80" t="s">
        <v>17</v>
      </c>
      <c r="L11" s="76" t="s">
        <v>41</v>
      </c>
      <c r="M11" s="80"/>
      <c r="N11" s="80"/>
      <c r="O11" s="80" t="s">
        <v>25</v>
      </c>
      <c r="P11" s="80"/>
      <c r="Q11" s="80" t="s">
        <v>58</v>
      </c>
      <c r="R11" s="76" t="s">
        <v>19</v>
      </c>
      <c r="S11" s="93"/>
    </row>
    <row r="12" spans="1:19" ht="15.75" x14ac:dyDescent="0.25">
      <c r="A12" s="28">
        <v>11</v>
      </c>
      <c r="B12" s="92">
        <v>45155</v>
      </c>
      <c r="C12" s="80" t="s">
        <v>163</v>
      </c>
      <c r="D12" s="80" t="s">
        <v>164</v>
      </c>
      <c r="E12" s="80">
        <v>85</v>
      </c>
      <c r="F12" s="80"/>
      <c r="G12" s="91">
        <v>45152</v>
      </c>
      <c r="H12" s="80"/>
      <c r="I12" s="80" t="s">
        <v>26</v>
      </c>
      <c r="J12" s="80">
        <v>1</v>
      </c>
      <c r="K12" s="80" t="s">
        <v>17</v>
      </c>
      <c r="L12" s="76" t="s">
        <v>41</v>
      </c>
      <c r="M12" s="80" t="s">
        <v>46</v>
      </c>
      <c r="N12" s="80"/>
      <c r="O12" s="80"/>
      <c r="P12" s="80"/>
      <c r="Q12" s="80" t="s">
        <v>165</v>
      </c>
      <c r="R12" s="80" t="s">
        <v>19</v>
      </c>
      <c r="S12" s="93"/>
    </row>
    <row r="13" spans="1:19" ht="15.75" x14ac:dyDescent="0.25">
      <c r="A13" s="28">
        <v>12</v>
      </c>
      <c r="B13" s="92">
        <v>45155</v>
      </c>
      <c r="C13" s="80" t="s">
        <v>146</v>
      </c>
      <c r="D13" s="80" t="s">
        <v>147</v>
      </c>
      <c r="E13" s="80">
        <v>88</v>
      </c>
      <c r="F13" s="80"/>
      <c r="G13" s="91">
        <v>45147</v>
      </c>
      <c r="H13" s="80"/>
      <c r="I13" s="80" t="s">
        <v>26</v>
      </c>
      <c r="J13" s="80">
        <v>1</v>
      </c>
      <c r="K13" s="80" t="s">
        <v>17</v>
      </c>
      <c r="L13" s="76" t="s">
        <v>41</v>
      </c>
      <c r="M13" s="80" t="s">
        <v>27</v>
      </c>
      <c r="N13" s="80"/>
      <c r="O13" s="80"/>
      <c r="P13" s="80"/>
      <c r="Q13" s="80" t="s">
        <v>148</v>
      </c>
      <c r="R13" s="80" t="s">
        <v>19</v>
      </c>
      <c r="S13" s="93"/>
    </row>
    <row r="14" spans="1:19" ht="15.75" x14ac:dyDescent="0.25">
      <c r="A14" s="28">
        <v>13</v>
      </c>
      <c r="B14" s="92">
        <v>45155</v>
      </c>
      <c r="C14" s="80" t="s">
        <v>166</v>
      </c>
      <c r="D14" s="80" t="s">
        <v>167</v>
      </c>
      <c r="E14" s="80">
        <v>86</v>
      </c>
      <c r="F14" s="80"/>
      <c r="G14" s="91">
        <v>45153</v>
      </c>
      <c r="H14" s="80"/>
      <c r="I14" s="80" t="s">
        <v>22</v>
      </c>
      <c r="J14" s="80">
        <v>1</v>
      </c>
      <c r="K14" s="80" t="s">
        <v>39</v>
      </c>
      <c r="L14" s="76" t="s">
        <v>41</v>
      </c>
      <c r="M14" s="80"/>
      <c r="N14" s="80"/>
      <c r="O14" s="80" t="s">
        <v>25</v>
      </c>
      <c r="P14" s="80"/>
      <c r="Q14" s="80" t="s">
        <v>68</v>
      </c>
      <c r="R14" s="80" t="s">
        <v>19</v>
      </c>
      <c r="S14" s="93"/>
    </row>
    <row r="15" spans="1:19" ht="15.75" x14ac:dyDescent="0.25">
      <c r="A15" s="28">
        <v>14</v>
      </c>
      <c r="B15" s="92">
        <v>45155</v>
      </c>
      <c r="C15" s="80" t="s">
        <v>125</v>
      </c>
      <c r="D15" s="80" t="s">
        <v>126</v>
      </c>
      <c r="E15" s="80">
        <v>75</v>
      </c>
      <c r="F15" s="80"/>
      <c r="G15" s="91">
        <v>45142</v>
      </c>
      <c r="H15" s="80"/>
      <c r="I15" s="80" t="s">
        <v>24</v>
      </c>
      <c r="J15" s="80">
        <v>1</v>
      </c>
      <c r="K15" s="80" t="s">
        <v>17</v>
      </c>
      <c r="L15" s="76" t="s">
        <v>41</v>
      </c>
      <c r="M15" s="80" t="s">
        <v>27</v>
      </c>
      <c r="N15" s="80"/>
      <c r="O15" s="80"/>
      <c r="P15" s="80"/>
      <c r="Q15" s="80" t="s">
        <v>131</v>
      </c>
      <c r="R15" s="76" t="s">
        <v>19</v>
      </c>
      <c r="S15" s="93"/>
    </row>
    <row r="16" spans="1:19" ht="15.75" x14ac:dyDescent="0.25">
      <c r="A16" s="28">
        <v>15</v>
      </c>
      <c r="B16" s="92">
        <v>45155</v>
      </c>
      <c r="C16" s="16" t="s">
        <v>102</v>
      </c>
      <c r="D16" s="80" t="s">
        <v>106</v>
      </c>
      <c r="E16" s="80">
        <v>68</v>
      </c>
      <c r="F16" s="80"/>
      <c r="G16" s="91">
        <v>45140</v>
      </c>
      <c r="H16" s="80"/>
      <c r="I16" s="80" t="s">
        <v>22</v>
      </c>
      <c r="J16" s="80">
        <v>1</v>
      </c>
      <c r="K16" s="80" t="s">
        <v>17</v>
      </c>
      <c r="L16" s="76" t="s">
        <v>41</v>
      </c>
      <c r="M16" s="80" t="s">
        <v>27</v>
      </c>
      <c r="N16" s="80"/>
      <c r="O16" s="80"/>
      <c r="P16" s="80"/>
      <c r="Q16" s="80" t="s">
        <v>107</v>
      </c>
      <c r="R16" s="76" t="s">
        <v>19</v>
      </c>
      <c r="S16" s="93"/>
    </row>
    <row r="17" spans="1:19" ht="15.75" x14ac:dyDescent="0.25">
      <c r="A17" s="28">
        <v>16</v>
      </c>
      <c r="B17" s="92">
        <v>45155</v>
      </c>
      <c r="C17" s="80" t="s">
        <v>168</v>
      </c>
      <c r="D17" s="80" t="s">
        <v>169</v>
      </c>
      <c r="E17" s="80">
        <v>67</v>
      </c>
      <c r="F17" s="80"/>
      <c r="G17" s="91">
        <v>45154</v>
      </c>
      <c r="H17" s="80"/>
      <c r="I17" s="80" t="s">
        <v>22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176</v>
      </c>
      <c r="R17" s="80" t="s">
        <v>19</v>
      </c>
      <c r="S17" s="93"/>
    </row>
    <row r="18" spans="1:19" ht="15.75" x14ac:dyDescent="0.25">
      <c r="A18" s="28">
        <v>17</v>
      </c>
      <c r="B18" s="92">
        <v>45155</v>
      </c>
      <c r="C18" s="80" t="s">
        <v>173</v>
      </c>
      <c r="D18" s="80" t="s">
        <v>174</v>
      </c>
      <c r="E18" s="80">
        <v>84</v>
      </c>
      <c r="F18" s="80"/>
      <c r="G18" s="91">
        <v>45154</v>
      </c>
      <c r="H18" s="80"/>
      <c r="I18" s="80" t="s">
        <v>26</v>
      </c>
      <c r="J18" s="80">
        <v>1</v>
      </c>
      <c r="K18" s="80" t="s">
        <v>17</v>
      </c>
      <c r="L18" s="76" t="s">
        <v>41</v>
      </c>
      <c r="M18" s="80" t="s">
        <v>32</v>
      </c>
      <c r="N18" s="80"/>
      <c r="O18" s="80"/>
      <c r="P18" s="80"/>
      <c r="Q18" s="80" t="s">
        <v>175</v>
      </c>
      <c r="R18" s="80" t="s">
        <v>19</v>
      </c>
      <c r="S18" s="93"/>
    </row>
    <row r="19" spans="1:19" ht="15.75" x14ac:dyDescent="0.25">
      <c r="A19" s="28">
        <v>18</v>
      </c>
      <c r="B19" s="92">
        <v>45155</v>
      </c>
      <c r="C19" s="80" t="s">
        <v>149</v>
      </c>
      <c r="D19" s="80" t="s">
        <v>150</v>
      </c>
      <c r="E19" s="80">
        <v>73</v>
      </c>
      <c r="F19" s="80"/>
      <c r="G19" s="91">
        <v>45146</v>
      </c>
      <c r="H19" s="80"/>
      <c r="I19" s="80" t="s">
        <v>22</v>
      </c>
      <c r="J19" s="80">
        <v>1</v>
      </c>
      <c r="K19" s="80" t="s">
        <v>39</v>
      </c>
      <c r="L19" s="76" t="s">
        <v>41</v>
      </c>
      <c r="M19" s="80"/>
      <c r="N19" s="80"/>
      <c r="O19" s="80" t="s">
        <v>25</v>
      </c>
      <c r="P19" s="80"/>
      <c r="Q19" s="80" t="s">
        <v>151</v>
      </c>
      <c r="R19" s="80" t="s">
        <v>19</v>
      </c>
      <c r="S19" s="93"/>
    </row>
    <row r="20" spans="1:19" ht="15.75" x14ac:dyDescent="0.25">
      <c r="A20" s="28">
        <v>19</v>
      </c>
      <c r="B20" s="92">
        <v>45155</v>
      </c>
      <c r="C20" s="80" t="s">
        <v>95</v>
      </c>
      <c r="D20" s="80" t="s">
        <v>96</v>
      </c>
      <c r="E20" s="80">
        <v>74</v>
      </c>
      <c r="F20" s="80"/>
      <c r="G20" s="91">
        <v>45138</v>
      </c>
      <c r="H20" s="80"/>
      <c r="I20" s="80" t="s">
        <v>97</v>
      </c>
      <c r="J20" s="80">
        <v>1.5</v>
      </c>
      <c r="K20" s="80" t="s">
        <v>17</v>
      </c>
      <c r="L20" s="76" t="s">
        <v>41</v>
      </c>
      <c r="M20" s="80" t="s">
        <v>44</v>
      </c>
      <c r="N20" s="80"/>
      <c r="O20" s="80"/>
      <c r="P20" s="80"/>
      <c r="Q20" s="80" t="s">
        <v>100</v>
      </c>
      <c r="R20" s="76" t="s">
        <v>19</v>
      </c>
      <c r="S20" s="93"/>
    </row>
    <row r="21" spans="1:19" ht="15.75" x14ac:dyDescent="0.25">
      <c r="A21" s="28">
        <v>20</v>
      </c>
      <c r="B21" s="92">
        <v>45155</v>
      </c>
      <c r="C21" s="80" t="s">
        <v>170</v>
      </c>
      <c r="D21" s="80" t="s">
        <v>171</v>
      </c>
      <c r="E21" s="80">
        <v>84</v>
      </c>
      <c r="F21" s="80"/>
      <c r="G21" s="91">
        <v>45154</v>
      </c>
      <c r="H21" s="80"/>
      <c r="I21" s="80" t="s">
        <v>97</v>
      </c>
      <c r="J21" s="80">
        <v>1</v>
      </c>
      <c r="K21" s="80" t="s">
        <v>17</v>
      </c>
      <c r="L21" s="76" t="s">
        <v>41</v>
      </c>
      <c r="M21" s="80" t="s">
        <v>44</v>
      </c>
      <c r="N21" s="80"/>
      <c r="O21" s="80"/>
      <c r="P21" s="80"/>
      <c r="Q21" s="80" t="s">
        <v>172</v>
      </c>
      <c r="R21" s="80" t="s">
        <v>19</v>
      </c>
      <c r="S21" s="93"/>
    </row>
    <row r="22" spans="1:19" ht="15.75" x14ac:dyDescent="0.25">
      <c r="A22" s="28">
        <v>21</v>
      </c>
      <c r="B22" s="92">
        <v>45155</v>
      </c>
      <c r="C22" s="80" t="s">
        <v>160</v>
      </c>
      <c r="D22" s="80" t="s">
        <v>161</v>
      </c>
      <c r="E22" s="80">
        <v>58</v>
      </c>
      <c r="F22" s="80"/>
      <c r="G22" s="91">
        <v>45150</v>
      </c>
      <c r="H22" s="80"/>
      <c r="I22" s="80" t="s">
        <v>26</v>
      </c>
      <c r="J22" s="80">
        <v>1</v>
      </c>
      <c r="K22" s="80" t="s">
        <v>17</v>
      </c>
      <c r="L22" s="76" t="s">
        <v>41</v>
      </c>
      <c r="M22" s="80"/>
      <c r="N22" s="80" t="s">
        <v>52</v>
      </c>
      <c r="O22" s="80"/>
      <c r="P22" s="80"/>
      <c r="Q22" s="80" t="s">
        <v>162</v>
      </c>
      <c r="R22" s="80" t="s">
        <v>19</v>
      </c>
      <c r="S22" s="93"/>
    </row>
    <row r="23" spans="1:19" ht="15.75" x14ac:dyDescent="0.25">
      <c r="A23" s="28">
        <v>22</v>
      </c>
      <c r="B23" s="92">
        <v>45155</v>
      </c>
      <c r="C23" s="80" t="s">
        <v>109</v>
      </c>
      <c r="D23" s="80" t="s">
        <v>110</v>
      </c>
      <c r="E23" s="80">
        <v>56</v>
      </c>
      <c r="F23" s="80"/>
      <c r="G23" s="91">
        <v>45140</v>
      </c>
      <c r="H23" s="80"/>
      <c r="I23" s="80" t="s">
        <v>111</v>
      </c>
      <c r="J23" s="80">
        <v>1.5</v>
      </c>
      <c r="K23" s="80" t="s">
        <v>17</v>
      </c>
      <c r="L23" s="76" t="s">
        <v>41</v>
      </c>
      <c r="M23" s="80" t="s">
        <v>44</v>
      </c>
      <c r="N23" s="80"/>
      <c r="O23" s="80"/>
      <c r="P23" s="80"/>
      <c r="Q23" s="80" t="s">
        <v>112</v>
      </c>
      <c r="R23" s="76" t="s">
        <v>19</v>
      </c>
      <c r="S23" s="93"/>
    </row>
    <row r="24" spans="1:19" ht="15.75" customHeight="1" x14ac:dyDescent="0.25">
      <c r="A24" s="28"/>
      <c r="B24" s="92"/>
      <c r="C24" s="73"/>
      <c r="D24" s="74"/>
      <c r="E24" s="75"/>
      <c r="F24" s="74"/>
      <c r="G24" s="94"/>
      <c r="H24" s="75"/>
      <c r="I24" s="74"/>
      <c r="J24" s="100"/>
      <c r="K24" s="74"/>
      <c r="L24" s="93"/>
      <c r="M24" s="74"/>
      <c r="N24" s="74"/>
      <c r="O24" s="74"/>
      <c r="P24" s="74"/>
      <c r="Q24" s="72"/>
      <c r="R24" s="93"/>
      <c r="S24" s="93"/>
    </row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6" type="noConversion"/>
  <pageMargins left="0.7" right="0.7" top="0.75" bottom="0.75" header="0" footer="0"/>
  <pageSetup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005"/>
  <sheetViews>
    <sheetView zoomScale="70" zoomScaleNormal="70" workbookViewId="0">
      <selection activeCell="F23" sqref="F23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7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28">
        <v>1</v>
      </c>
      <c r="B2" s="21">
        <v>45156</v>
      </c>
      <c r="C2" s="80" t="s">
        <v>113</v>
      </c>
      <c r="D2" s="80" t="s">
        <v>115</v>
      </c>
      <c r="E2" s="80">
        <v>60</v>
      </c>
      <c r="F2" s="80" t="s">
        <v>30</v>
      </c>
      <c r="G2" s="91">
        <v>45141</v>
      </c>
      <c r="H2" s="80">
        <f>DAYS360(G2,B2)</f>
        <v>15</v>
      </c>
      <c r="I2" s="80" t="s">
        <v>26</v>
      </c>
      <c r="J2" s="80">
        <v>1</v>
      </c>
      <c r="K2" s="80" t="s">
        <v>17</v>
      </c>
      <c r="L2" s="76" t="s">
        <v>41</v>
      </c>
      <c r="M2" s="80" t="s">
        <v>52</v>
      </c>
      <c r="N2" s="80"/>
      <c r="O2" s="80"/>
      <c r="P2" s="80"/>
      <c r="Q2" s="80" t="s">
        <v>116</v>
      </c>
      <c r="R2" s="76" t="s">
        <v>19</v>
      </c>
      <c r="S2" s="19"/>
    </row>
    <row r="3" spans="1:19" ht="15.75" x14ac:dyDescent="0.25">
      <c r="A3" s="28">
        <v>2</v>
      </c>
      <c r="B3" s="21">
        <v>45156</v>
      </c>
      <c r="C3" s="80" t="s">
        <v>170</v>
      </c>
      <c r="D3" s="80" t="s">
        <v>171</v>
      </c>
      <c r="E3" s="80">
        <v>84</v>
      </c>
      <c r="F3" s="80" t="s">
        <v>30</v>
      </c>
      <c r="G3" s="91">
        <v>45154</v>
      </c>
      <c r="H3" s="80">
        <f t="shared" ref="H3:H18" si="0">DAYS360(G3,B3)</f>
        <v>2</v>
      </c>
      <c r="I3" s="80" t="s">
        <v>97</v>
      </c>
      <c r="J3" s="80">
        <v>1</v>
      </c>
      <c r="K3" s="80" t="s">
        <v>17</v>
      </c>
      <c r="L3" s="76" t="s">
        <v>41</v>
      </c>
      <c r="M3" s="80" t="s">
        <v>44</v>
      </c>
      <c r="N3" s="80"/>
      <c r="O3" s="80"/>
      <c r="P3" s="80"/>
      <c r="Q3" s="80" t="s">
        <v>172</v>
      </c>
      <c r="R3" s="80" t="s">
        <v>19</v>
      </c>
      <c r="S3" s="19"/>
    </row>
    <row r="4" spans="1:19" ht="15.75" x14ac:dyDescent="0.25">
      <c r="A4" s="28">
        <v>3</v>
      </c>
      <c r="B4" s="21">
        <v>45156</v>
      </c>
      <c r="C4" s="77" t="s">
        <v>47</v>
      </c>
      <c r="D4" s="77" t="s">
        <v>48</v>
      </c>
      <c r="E4" s="77">
        <v>73</v>
      </c>
      <c r="F4" s="80" t="s">
        <v>30</v>
      </c>
      <c r="G4" s="95">
        <v>45150</v>
      </c>
      <c r="H4" s="80">
        <f t="shared" si="0"/>
        <v>6</v>
      </c>
      <c r="I4" s="77" t="s">
        <v>16</v>
      </c>
      <c r="J4" s="77">
        <v>1</v>
      </c>
      <c r="K4" s="77" t="s">
        <v>17</v>
      </c>
      <c r="L4" s="76" t="s">
        <v>41</v>
      </c>
      <c r="M4" s="77" t="s">
        <v>32</v>
      </c>
      <c r="N4" s="77"/>
      <c r="O4" s="77"/>
      <c r="P4" s="77"/>
      <c r="Q4" s="77" t="s">
        <v>49</v>
      </c>
      <c r="R4" s="76" t="s">
        <v>19</v>
      </c>
      <c r="S4" s="19"/>
    </row>
    <row r="5" spans="1:19" ht="15.75" x14ac:dyDescent="0.25">
      <c r="A5" s="28">
        <v>4</v>
      </c>
      <c r="B5" s="21">
        <v>45156</v>
      </c>
      <c r="C5" s="80" t="s">
        <v>177</v>
      </c>
      <c r="D5" s="80" t="s">
        <v>178</v>
      </c>
      <c r="E5" s="80">
        <v>94</v>
      </c>
      <c r="F5" s="80" t="s">
        <v>30</v>
      </c>
      <c r="G5" s="91">
        <v>45155</v>
      </c>
      <c r="H5" s="80">
        <f t="shared" si="0"/>
        <v>1</v>
      </c>
      <c r="I5" s="80" t="s">
        <v>179</v>
      </c>
      <c r="J5" s="80">
        <v>1</v>
      </c>
      <c r="K5" s="80" t="s">
        <v>17</v>
      </c>
      <c r="L5" s="76" t="s">
        <v>41</v>
      </c>
      <c r="M5" s="80" t="s">
        <v>27</v>
      </c>
      <c r="N5" s="80"/>
      <c r="O5" s="80"/>
      <c r="P5" s="80"/>
      <c r="Q5" s="80" t="s">
        <v>119</v>
      </c>
      <c r="R5" s="80" t="s">
        <v>19</v>
      </c>
      <c r="S5" s="19"/>
    </row>
    <row r="6" spans="1:19" ht="15.75" x14ac:dyDescent="0.25">
      <c r="A6" s="28">
        <v>5</v>
      </c>
      <c r="B6" s="21">
        <v>45156</v>
      </c>
      <c r="C6" s="80" t="s">
        <v>134</v>
      </c>
      <c r="D6" s="80" t="s">
        <v>135</v>
      </c>
      <c r="E6" s="80">
        <v>42</v>
      </c>
      <c r="F6" s="80" t="s">
        <v>30</v>
      </c>
      <c r="G6" s="91">
        <v>45143</v>
      </c>
      <c r="H6" s="80">
        <f t="shared" si="0"/>
        <v>13</v>
      </c>
      <c r="I6" s="80" t="s">
        <v>22</v>
      </c>
      <c r="J6" s="80">
        <v>0.75</v>
      </c>
      <c r="K6" s="80" t="s">
        <v>17</v>
      </c>
      <c r="L6" s="76" t="s">
        <v>41</v>
      </c>
      <c r="M6" s="80"/>
      <c r="N6" s="80"/>
      <c r="O6" s="80" t="s">
        <v>25</v>
      </c>
      <c r="P6" s="80"/>
      <c r="Q6" s="80" t="s">
        <v>58</v>
      </c>
      <c r="R6" s="76" t="s">
        <v>19</v>
      </c>
      <c r="S6" s="19"/>
    </row>
    <row r="7" spans="1:19" ht="15.75" x14ac:dyDescent="0.25">
      <c r="A7" s="28">
        <v>6</v>
      </c>
      <c r="B7" s="21">
        <v>45156</v>
      </c>
      <c r="C7" s="80" t="s">
        <v>163</v>
      </c>
      <c r="D7" s="80" t="s">
        <v>164</v>
      </c>
      <c r="E7" s="80">
        <v>85</v>
      </c>
      <c r="F7" s="80" t="s">
        <v>30</v>
      </c>
      <c r="G7" s="91">
        <v>45152</v>
      </c>
      <c r="H7" s="80">
        <f t="shared" si="0"/>
        <v>4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 t="s">
        <v>27</v>
      </c>
      <c r="O7" s="80"/>
      <c r="P7" s="80"/>
      <c r="Q7" s="80" t="s">
        <v>165</v>
      </c>
      <c r="R7" s="80" t="s">
        <v>19</v>
      </c>
      <c r="S7" s="19"/>
    </row>
    <row r="8" spans="1:19" ht="15.75" x14ac:dyDescent="0.25">
      <c r="A8" s="28">
        <v>7</v>
      </c>
      <c r="B8" s="21">
        <v>45156</v>
      </c>
      <c r="C8" s="80" t="s">
        <v>163</v>
      </c>
      <c r="D8" s="80" t="s">
        <v>164</v>
      </c>
      <c r="E8" s="80">
        <v>85</v>
      </c>
      <c r="F8" s="80" t="s">
        <v>30</v>
      </c>
      <c r="G8" s="91">
        <v>45152</v>
      </c>
      <c r="H8" s="80">
        <f t="shared" si="0"/>
        <v>4</v>
      </c>
      <c r="I8" s="80" t="s">
        <v>26</v>
      </c>
      <c r="J8" s="80">
        <v>1</v>
      </c>
      <c r="K8" s="80" t="s">
        <v>17</v>
      </c>
      <c r="L8" s="76" t="s">
        <v>41</v>
      </c>
      <c r="M8" s="80"/>
      <c r="N8" s="80" t="s">
        <v>27</v>
      </c>
      <c r="O8" s="80"/>
      <c r="P8" s="80"/>
      <c r="Q8" s="80" t="s">
        <v>165</v>
      </c>
      <c r="R8" s="80" t="s">
        <v>19</v>
      </c>
      <c r="S8" s="19"/>
    </row>
    <row r="9" spans="1:19" ht="15.75" x14ac:dyDescent="0.25">
      <c r="A9" s="28">
        <v>8</v>
      </c>
      <c r="B9" s="21">
        <v>45156</v>
      </c>
      <c r="C9" s="80" t="s">
        <v>160</v>
      </c>
      <c r="D9" s="80" t="s">
        <v>161</v>
      </c>
      <c r="E9" s="80">
        <v>58</v>
      </c>
      <c r="F9" s="80" t="s">
        <v>30</v>
      </c>
      <c r="G9" s="91">
        <v>45150</v>
      </c>
      <c r="H9" s="80">
        <f t="shared" si="0"/>
        <v>6</v>
      </c>
      <c r="I9" s="80" t="s">
        <v>26</v>
      </c>
      <c r="J9" s="80">
        <v>1</v>
      </c>
      <c r="K9" s="80" t="s">
        <v>17</v>
      </c>
      <c r="L9" s="76" t="s">
        <v>41</v>
      </c>
      <c r="M9" s="80"/>
      <c r="N9" s="80" t="s">
        <v>52</v>
      </c>
      <c r="O9" s="80"/>
      <c r="P9" s="80"/>
      <c r="Q9" s="80" t="s">
        <v>162</v>
      </c>
      <c r="R9" s="80" t="s">
        <v>19</v>
      </c>
      <c r="S9" s="19"/>
    </row>
    <row r="10" spans="1:19" ht="15.75" x14ac:dyDescent="0.25">
      <c r="A10" s="28">
        <v>9</v>
      </c>
      <c r="B10" s="21">
        <v>45156</v>
      </c>
      <c r="C10" s="80" t="s">
        <v>152</v>
      </c>
      <c r="D10" s="80" t="s">
        <v>153</v>
      </c>
      <c r="E10" s="80">
        <v>60</v>
      </c>
      <c r="F10" s="80" t="s">
        <v>30</v>
      </c>
      <c r="G10" s="91">
        <v>45147</v>
      </c>
      <c r="H10" s="80">
        <f t="shared" si="0"/>
        <v>9</v>
      </c>
      <c r="I10" s="80" t="s">
        <v>22</v>
      </c>
      <c r="J10" s="80">
        <v>1</v>
      </c>
      <c r="K10" s="80" t="s">
        <v>39</v>
      </c>
      <c r="L10" s="76" t="s">
        <v>41</v>
      </c>
      <c r="M10" s="80"/>
      <c r="N10" s="80" t="s">
        <v>27</v>
      </c>
      <c r="O10" s="80"/>
      <c r="P10" s="80"/>
      <c r="Q10" s="80" t="s">
        <v>76</v>
      </c>
      <c r="R10" s="80" t="s">
        <v>19</v>
      </c>
      <c r="S10" s="19"/>
    </row>
    <row r="11" spans="1:19" ht="15.75" x14ac:dyDescent="0.25">
      <c r="A11" s="28">
        <v>10</v>
      </c>
      <c r="B11" s="21">
        <v>45156</v>
      </c>
      <c r="C11" s="80" t="s">
        <v>149</v>
      </c>
      <c r="D11" s="80" t="s">
        <v>150</v>
      </c>
      <c r="E11" s="80">
        <v>73</v>
      </c>
      <c r="F11" s="80" t="s">
        <v>30</v>
      </c>
      <c r="G11" s="91">
        <v>45146</v>
      </c>
      <c r="H11" s="80">
        <f t="shared" ref="H11" si="1">DAYS360(G11,B11)</f>
        <v>10</v>
      </c>
      <c r="I11" s="80" t="s">
        <v>22</v>
      </c>
      <c r="J11" s="80">
        <v>1</v>
      </c>
      <c r="K11" s="80" t="s">
        <v>39</v>
      </c>
      <c r="L11" s="76" t="s">
        <v>41</v>
      </c>
      <c r="M11" s="80" t="s">
        <v>32</v>
      </c>
      <c r="N11" s="80"/>
      <c r="O11" s="80"/>
      <c r="P11" s="80"/>
      <c r="Q11" s="80" t="s">
        <v>151</v>
      </c>
      <c r="R11" s="80" t="s">
        <v>19</v>
      </c>
      <c r="S11" s="19"/>
    </row>
    <row r="12" spans="1:19" ht="15.75" x14ac:dyDescent="0.25">
      <c r="A12" s="28">
        <v>11</v>
      </c>
      <c r="B12" s="21">
        <v>45156</v>
      </c>
      <c r="C12" s="80" t="s">
        <v>149</v>
      </c>
      <c r="D12" s="80" t="s">
        <v>150</v>
      </c>
      <c r="E12" s="80">
        <v>73</v>
      </c>
      <c r="F12" s="80" t="s">
        <v>30</v>
      </c>
      <c r="G12" s="91">
        <v>45146</v>
      </c>
      <c r="H12" s="80">
        <f t="shared" si="0"/>
        <v>10</v>
      </c>
      <c r="I12" s="80" t="s">
        <v>22</v>
      </c>
      <c r="J12" s="80">
        <v>1</v>
      </c>
      <c r="K12" s="80" t="s">
        <v>39</v>
      </c>
      <c r="L12" s="76" t="s">
        <v>41</v>
      </c>
      <c r="M12" s="80"/>
      <c r="N12" s="80"/>
      <c r="O12" s="80" t="s">
        <v>25</v>
      </c>
      <c r="P12" s="80"/>
      <c r="Q12" s="80" t="s">
        <v>151</v>
      </c>
      <c r="R12" s="80" t="s">
        <v>19</v>
      </c>
      <c r="S12" s="19"/>
    </row>
    <row r="13" spans="1:19" ht="15.75" x14ac:dyDescent="0.25">
      <c r="A13" s="28">
        <v>12</v>
      </c>
      <c r="B13" s="21">
        <v>45156</v>
      </c>
      <c r="C13" s="80" t="s">
        <v>156</v>
      </c>
      <c r="D13" s="80" t="s">
        <v>157</v>
      </c>
      <c r="E13" s="80">
        <v>92</v>
      </c>
      <c r="F13" s="80" t="s">
        <v>30</v>
      </c>
      <c r="G13" s="91">
        <v>45148</v>
      </c>
      <c r="H13" s="80">
        <f t="shared" si="0"/>
        <v>8</v>
      </c>
      <c r="I13" s="80" t="s">
        <v>22</v>
      </c>
      <c r="J13" s="80">
        <v>1</v>
      </c>
      <c r="K13" s="80" t="s">
        <v>17</v>
      </c>
      <c r="L13" s="76" t="s">
        <v>41</v>
      </c>
      <c r="M13" s="80" t="s">
        <v>52</v>
      </c>
      <c r="N13" s="80"/>
      <c r="O13" s="80"/>
      <c r="P13" s="80"/>
      <c r="Q13" s="80" t="s">
        <v>158</v>
      </c>
      <c r="R13" s="80" t="s">
        <v>19</v>
      </c>
      <c r="S13" s="19"/>
    </row>
    <row r="14" spans="1:19" ht="15.75" x14ac:dyDescent="0.25">
      <c r="A14" s="28">
        <v>13</v>
      </c>
      <c r="B14" s="21">
        <v>45156</v>
      </c>
      <c r="C14" s="80" t="s">
        <v>146</v>
      </c>
      <c r="D14" s="80" t="s">
        <v>147</v>
      </c>
      <c r="E14" s="80">
        <v>88</v>
      </c>
      <c r="F14" s="80" t="s">
        <v>30</v>
      </c>
      <c r="G14" s="91">
        <v>45147</v>
      </c>
      <c r="H14" s="80">
        <f t="shared" si="0"/>
        <v>9</v>
      </c>
      <c r="I14" s="80" t="s">
        <v>26</v>
      </c>
      <c r="J14" s="80">
        <v>1</v>
      </c>
      <c r="K14" s="80" t="s">
        <v>17</v>
      </c>
      <c r="L14" s="76" t="s">
        <v>41</v>
      </c>
      <c r="M14" s="80" t="s">
        <v>27</v>
      </c>
      <c r="N14" s="80"/>
      <c r="O14" s="80"/>
      <c r="P14" s="80"/>
      <c r="Q14" s="80" t="s">
        <v>148</v>
      </c>
      <c r="R14" s="80" t="s">
        <v>19</v>
      </c>
      <c r="S14" s="19"/>
    </row>
    <row r="15" spans="1:19" ht="15.75" x14ac:dyDescent="0.25">
      <c r="A15" s="28">
        <v>14</v>
      </c>
      <c r="B15" s="21">
        <v>45156</v>
      </c>
      <c r="C15" s="80" t="s">
        <v>166</v>
      </c>
      <c r="D15" s="80" t="s">
        <v>167</v>
      </c>
      <c r="E15" s="80">
        <v>86</v>
      </c>
      <c r="F15" s="80" t="s">
        <v>30</v>
      </c>
      <c r="G15" s="91">
        <v>45153</v>
      </c>
      <c r="H15" s="80">
        <f t="shared" si="0"/>
        <v>3</v>
      </c>
      <c r="I15" s="80" t="s">
        <v>22</v>
      </c>
      <c r="J15" s="80">
        <v>1</v>
      </c>
      <c r="K15" s="80" t="s">
        <v>39</v>
      </c>
      <c r="L15" s="76" t="s">
        <v>41</v>
      </c>
      <c r="M15" s="80"/>
      <c r="N15" s="80"/>
      <c r="O15" s="80" t="s">
        <v>25</v>
      </c>
      <c r="P15" s="80"/>
      <c r="Q15" s="80" t="s">
        <v>68</v>
      </c>
      <c r="R15" s="80" t="s">
        <v>19</v>
      </c>
      <c r="S15" s="19"/>
    </row>
    <row r="16" spans="1:19" ht="15.75" x14ac:dyDescent="0.25">
      <c r="A16" s="28">
        <v>15</v>
      </c>
      <c r="B16" s="21">
        <v>45156</v>
      </c>
      <c r="C16" s="80" t="s">
        <v>109</v>
      </c>
      <c r="D16" s="80" t="s">
        <v>110</v>
      </c>
      <c r="E16" s="80">
        <v>56</v>
      </c>
      <c r="F16" s="80" t="s">
        <v>30</v>
      </c>
      <c r="G16" s="91">
        <v>45140</v>
      </c>
      <c r="H16" s="80">
        <f t="shared" si="0"/>
        <v>16</v>
      </c>
      <c r="I16" s="80" t="s">
        <v>111</v>
      </c>
      <c r="J16" s="80">
        <v>1.5</v>
      </c>
      <c r="K16" s="80" t="s">
        <v>17</v>
      </c>
      <c r="L16" s="76" t="s">
        <v>41</v>
      </c>
      <c r="M16" s="80" t="s">
        <v>44</v>
      </c>
      <c r="N16" s="80"/>
      <c r="O16" s="80"/>
      <c r="P16" s="80"/>
      <c r="Q16" s="80" t="s">
        <v>112</v>
      </c>
      <c r="R16" s="76" t="s">
        <v>19</v>
      </c>
      <c r="S16" s="19"/>
    </row>
    <row r="17" spans="1:19" ht="15.75" x14ac:dyDescent="0.25">
      <c r="A17" s="28">
        <v>16</v>
      </c>
      <c r="B17" s="21">
        <v>45156</v>
      </c>
      <c r="C17" s="80" t="s">
        <v>117</v>
      </c>
      <c r="D17" s="80" t="s">
        <v>118</v>
      </c>
      <c r="E17" s="80">
        <v>78</v>
      </c>
      <c r="F17" s="80" t="s">
        <v>30</v>
      </c>
      <c r="G17" s="91">
        <v>45141</v>
      </c>
      <c r="H17" s="80">
        <f t="shared" si="0"/>
        <v>15</v>
      </c>
      <c r="I17" s="80" t="s">
        <v>16</v>
      </c>
      <c r="J17" s="80">
        <v>1.5</v>
      </c>
      <c r="K17" s="80" t="s">
        <v>39</v>
      </c>
      <c r="L17" s="76" t="s">
        <v>41</v>
      </c>
      <c r="M17" s="80"/>
      <c r="N17" s="80" t="s">
        <v>27</v>
      </c>
      <c r="O17" s="80"/>
      <c r="P17" s="80"/>
      <c r="Q17" s="80" t="s">
        <v>119</v>
      </c>
      <c r="R17" s="76" t="s">
        <v>19</v>
      </c>
      <c r="S17" s="19"/>
    </row>
    <row r="18" spans="1:19" ht="15.75" x14ac:dyDescent="0.25">
      <c r="A18" s="28">
        <v>17</v>
      </c>
      <c r="B18" s="21">
        <v>45156</v>
      </c>
      <c r="C18" s="80" t="s">
        <v>95</v>
      </c>
      <c r="D18" s="80" t="s">
        <v>96</v>
      </c>
      <c r="E18" s="80">
        <v>74</v>
      </c>
      <c r="F18" s="80" t="s">
        <v>30</v>
      </c>
      <c r="G18" s="91">
        <v>45154</v>
      </c>
      <c r="H18" s="80">
        <f t="shared" si="0"/>
        <v>2</v>
      </c>
      <c r="I18" s="80" t="s">
        <v>97</v>
      </c>
      <c r="J18" s="80">
        <v>1.5</v>
      </c>
      <c r="K18" s="80" t="s">
        <v>17</v>
      </c>
      <c r="L18" s="76" t="s">
        <v>41</v>
      </c>
      <c r="M18" s="80" t="s">
        <v>44</v>
      </c>
      <c r="N18" s="80"/>
      <c r="O18" s="80"/>
      <c r="P18" s="80"/>
      <c r="Q18" s="80" t="s">
        <v>100</v>
      </c>
      <c r="R18" s="76" t="s">
        <v>19</v>
      </c>
      <c r="S18" s="19"/>
    </row>
    <row r="19" spans="1:19" ht="15.75" x14ac:dyDescent="0.25">
      <c r="A19" s="28">
        <v>18</v>
      </c>
      <c r="B19" s="21"/>
      <c r="C19" s="80"/>
      <c r="D19" s="80"/>
      <c r="E19" s="80"/>
      <c r="F19" s="80"/>
      <c r="G19" s="91"/>
      <c r="H19" s="102"/>
      <c r="I19" s="80"/>
      <c r="J19" s="102"/>
      <c r="K19" s="80"/>
      <c r="L19" s="76"/>
      <c r="M19" s="80"/>
      <c r="N19" s="80"/>
      <c r="O19" s="80"/>
      <c r="P19" s="80"/>
      <c r="Q19" s="80"/>
      <c r="R19" s="11"/>
      <c r="S19" s="19"/>
    </row>
    <row r="20" spans="1:19" ht="15.75" x14ac:dyDescent="0.25">
      <c r="A20" s="28">
        <v>19</v>
      </c>
      <c r="B20" s="21"/>
      <c r="C20" s="80"/>
      <c r="D20" s="80"/>
      <c r="E20" s="80"/>
      <c r="F20" s="80"/>
      <c r="G20" s="91"/>
      <c r="H20" s="102"/>
      <c r="I20" s="80"/>
      <c r="J20" s="102"/>
      <c r="K20" s="80"/>
      <c r="L20" s="76"/>
      <c r="M20" s="80"/>
      <c r="N20" s="80"/>
      <c r="O20" s="80"/>
      <c r="P20" s="80"/>
      <c r="Q20" s="80"/>
      <c r="R20" s="11"/>
      <c r="S20" s="19"/>
    </row>
    <row r="21" spans="1:19" ht="15.75" x14ac:dyDescent="0.25">
      <c r="A21" s="28">
        <v>20</v>
      </c>
      <c r="B21" s="21"/>
      <c r="C21" s="80"/>
      <c r="D21" s="80"/>
      <c r="E21" s="80"/>
      <c r="F21" s="80"/>
      <c r="G21" s="91"/>
      <c r="H21" s="102"/>
      <c r="I21" s="80"/>
      <c r="J21" s="102"/>
      <c r="K21" s="80"/>
      <c r="L21" s="76"/>
      <c r="M21" s="80"/>
      <c r="N21" s="80"/>
      <c r="O21" s="80"/>
      <c r="P21" s="80"/>
      <c r="Q21" s="80"/>
      <c r="R21" s="11"/>
      <c r="S21" s="19"/>
    </row>
    <row r="22" spans="1:19" ht="15.75" x14ac:dyDescent="0.25">
      <c r="A22" s="28">
        <v>21</v>
      </c>
      <c r="B22" s="21"/>
      <c r="C22" s="80"/>
      <c r="D22" s="80"/>
      <c r="E22" s="80"/>
      <c r="F22" s="80"/>
      <c r="G22" s="91"/>
      <c r="H22" s="102"/>
      <c r="I22" s="80"/>
      <c r="J22" s="102"/>
      <c r="K22" s="80"/>
      <c r="L22" s="76"/>
      <c r="M22" s="80"/>
      <c r="N22" s="80"/>
      <c r="O22" s="80"/>
      <c r="P22" s="80"/>
      <c r="Q22" s="80"/>
      <c r="R22" s="11"/>
      <c r="S22" s="19"/>
    </row>
    <row r="23" spans="1:19" ht="15.75" x14ac:dyDescent="0.25">
      <c r="A23" s="28"/>
      <c r="B23" s="21"/>
      <c r="C23" s="80"/>
      <c r="D23" s="80"/>
      <c r="E23" s="80"/>
      <c r="F23" s="80"/>
      <c r="G23" s="91"/>
      <c r="H23" s="102"/>
      <c r="I23" s="80"/>
      <c r="J23" s="102"/>
      <c r="K23" s="80"/>
      <c r="L23" s="76"/>
      <c r="M23" s="80"/>
      <c r="N23" s="80"/>
      <c r="O23" s="80"/>
      <c r="P23" s="80"/>
      <c r="Q23" s="80"/>
      <c r="R23" s="11"/>
      <c r="S23" s="19"/>
    </row>
    <row r="24" spans="1:19" ht="15.75" x14ac:dyDescent="0.25">
      <c r="A24" s="28"/>
      <c r="B24" s="21"/>
      <c r="C24" s="80"/>
      <c r="D24" s="80"/>
      <c r="E24" s="80"/>
      <c r="F24" s="80"/>
      <c r="G24" s="91"/>
      <c r="H24" s="102"/>
      <c r="I24" s="80"/>
      <c r="J24" s="102"/>
      <c r="K24" s="80"/>
      <c r="L24" s="76"/>
      <c r="M24" s="80"/>
      <c r="N24" s="80"/>
      <c r="O24" s="80"/>
      <c r="P24" s="80"/>
      <c r="Q24" s="80"/>
      <c r="R24" s="11"/>
      <c r="S24" s="19"/>
    </row>
    <row r="25" spans="1:19" ht="15.75" x14ac:dyDescent="0.25">
      <c r="A25" s="28"/>
      <c r="B25" s="21"/>
      <c r="C25" s="79"/>
      <c r="D25" s="79"/>
      <c r="E25" s="79"/>
      <c r="F25" s="80"/>
      <c r="G25" s="96"/>
      <c r="H25" s="104"/>
      <c r="I25" s="79"/>
      <c r="J25" s="104"/>
      <c r="K25" s="79"/>
      <c r="L25" s="76"/>
      <c r="M25" s="79"/>
      <c r="N25" s="79"/>
      <c r="O25" s="79"/>
      <c r="P25" s="79"/>
      <c r="Q25" s="79"/>
      <c r="R25" s="11"/>
      <c r="S25" s="19"/>
    </row>
    <row r="26" spans="1:19" ht="15.75" x14ac:dyDescent="0.25">
      <c r="A26" s="28"/>
      <c r="B26" s="21"/>
      <c r="C26" s="77"/>
      <c r="D26" s="77"/>
      <c r="E26" s="77"/>
      <c r="F26" s="80"/>
      <c r="G26" s="95"/>
      <c r="H26" s="103"/>
      <c r="I26" s="77"/>
      <c r="J26" s="103"/>
      <c r="K26" s="77"/>
      <c r="L26" s="76"/>
      <c r="M26" s="77"/>
      <c r="N26" s="77"/>
      <c r="O26" s="77"/>
      <c r="P26" s="88"/>
      <c r="Q26" s="77"/>
      <c r="R26" s="11"/>
      <c r="S26" s="19"/>
    </row>
    <row r="27" spans="1:19" ht="15.75" x14ac:dyDescent="0.25">
      <c r="A27" s="28"/>
      <c r="B27" s="21"/>
      <c r="C27" s="80"/>
      <c r="D27" s="80"/>
      <c r="E27" s="80"/>
      <c r="F27" s="80"/>
      <c r="G27" s="91"/>
      <c r="H27" s="102"/>
      <c r="I27" s="80"/>
      <c r="J27" s="102"/>
      <c r="K27" s="80"/>
      <c r="L27" s="76"/>
      <c r="M27" s="80"/>
      <c r="N27" s="80"/>
      <c r="O27" s="80"/>
      <c r="P27" s="80"/>
      <c r="Q27" s="80"/>
      <c r="R27" s="11"/>
      <c r="S27" s="19"/>
    </row>
    <row r="28" spans="1:19" ht="15.75" customHeight="1" x14ac:dyDescent="0.25">
      <c r="H28" s="101"/>
    </row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honeticPr fontId="6" type="noConversion"/>
  <pageMargins left="0.7" right="0.7" top="0.75" bottom="0.75" header="0" footer="0"/>
  <pageSetup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006"/>
  <sheetViews>
    <sheetView tabSelected="1" topLeftCell="D1" zoomScale="60" zoomScaleNormal="60" workbookViewId="0">
      <selection activeCell="J29" sqref="J29"/>
    </sheetView>
  </sheetViews>
  <sheetFormatPr baseColWidth="10" defaultColWidth="14.42578125" defaultRowHeight="15" customHeight="1" x14ac:dyDescent="0.25"/>
  <cols>
    <col min="1" max="1" width="7.42578125" customWidth="1"/>
    <col min="2" max="2" width="20.1406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8.7109375" customWidth="1"/>
    <col min="8" max="8" width="12.71093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28">
        <v>1</v>
      </c>
      <c r="B2" s="21">
        <v>45157</v>
      </c>
      <c r="C2" s="80" t="s">
        <v>146</v>
      </c>
      <c r="D2" s="80" t="s">
        <v>147</v>
      </c>
      <c r="E2" s="80">
        <v>88</v>
      </c>
      <c r="F2" s="86" t="s">
        <v>30</v>
      </c>
      <c r="G2" s="91">
        <v>45147</v>
      </c>
      <c r="H2" s="80">
        <f>DAYS360(G2,B2)</f>
        <v>10</v>
      </c>
      <c r="I2" s="80" t="s">
        <v>26</v>
      </c>
      <c r="J2" s="80">
        <v>1</v>
      </c>
      <c r="K2" s="80" t="s">
        <v>17</v>
      </c>
      <c r="L2" s="76" t="s">
        <v>41</v>
      </c>
      <c r="M2" s="80" t="s">
        <v>27</v>
      </c>
      <c r="N2" s="80"/>
      <c r="O2" s="80"/>
      <c r="P2" s="80"/>
      <c r="Q2" s="80" t="s">
        <v>148</v>
      </c>
      <c r="R2" s="80" t="s">
        <v>19</v>
      </c>
      <c r="S2" s="19"/>
    </row>
    <row r="3" spans="1:19" ht="15.75" x14ac:dyDescent="0.25">
      <c r="A3" s="28">
        <v>2</v>
      </c>
      <c r="B3" s="21">
        <v>45157</v>
      </c>
      <c r="C3" s="80" t="s">
        <v>180</v>
      </c>
      <c r="D3" s="80" t="s">
        <v>182</v>
      </c>
      <c r="E3" s="80">
        <v>85</v>
      </c>
      <c r="F3" s="86" t="s">
        <v>30</v>
      </c>
      <c r="G3" s="91">
        <v>45156</v>
      </c>
      <c r="H3" s="80">
        <f t="shared" ref="H3" si="0">DAYS360(G3,B3)</f>
        <v>1</v>
      </c>
      <c r="I3" s="80" t="s">
        <v>22</v>
      </c>
      <c r="J3" s="80">
        <v>1</v>
      </c>
      <c r="K3" s="80" t="s">
        <v>39</v>
      </c>
      <c r="L3" s="76" t="s">
        <v>41</v>
      </c>
      <c r="M3" s="80" t="s">
        <v>46</v>
      </c>
      <c r="N3" s="80"/>
      <c r="O3" s="80"/>
      <c r="P3" s="80"/>
      <c r="Q3" s="80" t="s">
        <v>189</v>
      </c>
      <c r="R3" s="80" t="s">
        <v>19</v>
      </c>
      <c r="S3" s="19"/>
    </row>
    <row r="4" spans="1:19" ht="15.75" x14ac:dyDescent="0.25">
      <c r="A4" s="28">
        <v>3</v>
      </c>
      <c r="B4" s="21">
        <v>45157</v>
      </c>
      <c r="C4" s="80" t="s">
        <v>180</v>
      </c>
      <c r="D4" s="80" t="s">
        <v>182</v>
      </c>
      <c r="E4" s="80">
        <v>85</v>
      </c>
      <c r="F4" s="86" t="s">
        <v>30</v>
      </c>
      <c r="G4" s="91">
        <v>45156</v>
      </c>
      <c r="H4" s="80">
        <f t="shared" ref="H4:H23" si="1">DAYS360(G4,B4)</f>
        <v>1</v>
      </c>
      <c r="I4" s="80" t="s">
        <v>22</v>
      </c>
      <c r="J4" s="80">
        <v>1</v>
      </c>
      <c r="K4" s="80" t="s">
        <v>39</v>
      </c>
      <c r="L4" s="76" t="s">
        <v>41</v>
      </c>
      <c r="M4" s="80"/>
      <c r="N4" s="80"/>
      <c r="O4" s="80" t="s">
        <v>25</v>
      </c>
      <c r="P4" s="80"/>
      <c r="Q4" s="80" t="s">
        <v>189</v>
      </c>
      <c r="R4" s="80" t="s">
        <v>19</v>
      </c>
      <c r="S4" s="19"/>
    </row>
    <row r="5" spans="1:19" ht="15.75" x14ac:dyDescent="0.25">
      <c r="A5" s="28">
        <v>4</v>
      </c>
      <c r="B5" s="21">
        <v>45157</v>
      </c>
      <c r="C5" s="80" t="s">
        <v>156</v>
      </c>
      <c r="D5" s="80" t="s">
        <v>157</v>
      </c>
      <c r="E5" s="80">
        <v>92</v>
      </c>
      <c r="F5" s="86" t="s">
        <v>30</v>
      </c>
      <c r="G5" s="91">
        <v>45148</v>
      </c>
      <c r="H5" s="80">
        <f t="shared" si="1"/>
        <v>9</v>
      </c>
      <c r="I5" s="80" t="s">
        <v>22</v>
      </c>
      <c r="J5" s="80">
        <v>1</v>
      </c>
      <c r="K5" s="80" t="s">
        <v>17</v>
      </c>
      <c r="L5" s="76" t="s">
        <v>41</v>
      </c>
      <c r="M5" s="80" t="s">
        <v>191</v>
      </c>
      <c r="N5" s="80"/>
      <c r="O5" s="80"/>
      <c r="P5" s="80"/>
      <c r="Q5" s="80" t="s">
        <v>158</v>
      </c>
      <c r="R5" s="80" t="s">
        <v>19</v>
      </c>
      <c r="S5" s="19"/>
    </row>
    <row r="6" spans="1:19" ht="15.75" x14ac:dyDescent="0.25">
      <c r="A6" s="28">
        <v>5</v>
      </c>
      <c r="B6" s="21">
        <v>45157</v>
      </c>
      <c r="C6" s="80" t="s">
        <v>121</v>
      </c>
      <c r="D6" s="80" t="s">
        <v>123</v>
      </c>
      <c r="E6" s="80">
        <v>82</v>
      </c>
      <c r="F6" s="86" t="s">
        <v>30</v>
      </c>
      <c r="G6" s="91">
        <v>45142</v>
      </c>
      <c r="H6" s="80">
        <f t="shared" si="1"/>
        <v>15</v>
      </c>
      <c r="I6" s="80" t="s">
        <v>127</v>
      </c>
      <c r="J6" s="80">
        <v>1</v>
      </c>
      <c r="K6" s="80" t="s">
        <v>39</v>
      </c>
      <c r="L6" s="76" t="s">
        <v>41</v>
      </c>
      <c r="M6" s="80" t="s">
        <v>32</v>
      </c>
      <c r="N6" s="80"/>
      <c r="O6" s="80"/>
      <c r="P6" s="80"/>
      <c r="Q6" s="80" t="s">
        <v>129</v>
      </c>
      <c r="R6" s="76" t="s">
        <v>19</v>
      </c>
      <c r="S6" s="19"/>
    </row>
    <row r="7" spans="1:19" ht="15.75" x14ac:dyDescent="0.25">
      <c r="A7" s="28">
        <v>6</v>
      </c>
      <c r="B7" s="21">
        <v>45157</v>
      </c>
      <c r="C7" s="80" t="s">
        <v>152</v>
      </c>
      <c r="D7" s="80" t="s">
        <v>153</v>
      </c>
      <c r="E7" s="80">
        <v>60</v>
      </c>
      <c r="F7" s="86" t="s">
        <v>30</v>
      </c>
      <c r="G7" s="91">
        <v>45147</v>
      </c>
      <c r="H7" s="80">
        <f t="shared" si="1"/>
        <v>10</v>
      </c>
      <c r="I7" s="80" t="s">
        <v>22</v>
      </c>
      <c r="J7" s="80">
        <v>1</v>
      </c>
      <c r="K7" s="80" t="s">
        <v>39</v>
      </c>
      <c r="L7" s="76" t="s">
        <v>41</v>
      </c>
      <c r="M7" s="80"/>
      <c r="N7" s="80" t="s">
        <v>27</v>
      </c>
      <c r="O7" s="80"/>
      <c r="P7" s="80"/>
      <c r="Q7" s="80" t="s">
        <v>76</v>
      </c>
      <c r="R7" s="80" t="s">
        <v>19</v>
      </c>
      <c r="S7" s="19"/>
    </row>
    <row r="8" spans="1:19" ht="15.75" x14ac:dyDescent="0.25">
      <c r="A8" s="28">
        <v>7</v>
      </c>
      <c r="B8" s="21">
        <v>45157</v>
      </c>
      <c r="C8" s="80" t="s">
        <v>113</v>
      </c>
      <c r="D8" s="80" t="s">
        <v>115</v>
      </c>
      <c r="E8" s="80">
        <v>60</v>
      </c>
      <c r="F8" s="86" t="s">
        <v>30</v>
      </c>
      <c r="G8" s="91">
        <v>45141</v>
      </c>
      <c r="H8" s="80">
        <f t="shared" si="1"/>
        <v>16</v>
      </c>
      <c r="I8" s="80" t="s">
        <v>26</v>
      </c>
      <c r="J8" s="80">
        <v>1</v>
      </c>
      <c r="K8" s="80" t="s">
        <v>17</v>
      </c>
      <c r="L8" s="76" t="s">
        <v>41</v>
      </c>
      <c r="M8" s="80"/>
      <c r="N8" s="80" t="s">
        <v>27</v>
      </c>
      <c r="O8" s="80"/>
      <c r="P8" s="80"/>
      <c r="Q8" s="80" t="s">
        <v>116</v>
      </c>
      <c r="R8" s="76" t="s">
        <v>19</v>
      </c>
      <c r="S8" s="19"/>
    </row>
    <row r="9" spans="1:19" ht="15.75" x14ac:dyDescent="0.25">
      <c r="A9" s="28">
        <v>8</v>
      </c>
      <c r="B9" s="21">
        <v>45157</v>
      </c>
      <c r="C9" s="80" t="s">
        <v>149</v>
      </c>
      <c r="D9" s="80" t="s">
        <v>150</v>
      </c>
      <c r="E9" s="80">
        <v>73</v>
      </c>
      <c r="F9" s="86" t="s">
        <v>30</v>
      </c>
      <c r="G9" s="91">
        <v>45146</v>
      </c>
      <c r="H9" s="80">
        <f t="shared" si="1"/>
        <v>11</v>
      </c>
      <c r="I9" s="80" t="s">
        <v>22</v>
      </c>
      <c r="J9" s="80">
        <v>1</v>
      </c>
      <c r="K9" s="80" t="s">
        <v>39</v>
      </c>
      <c r="L9" s="76" t="s">
        <v>41</v>
      </c>
      <c r="M9" s="80" t="s">
        <v>32</v>
      </c>
      <c r="N9" s="80"/>
      <c r="O9" s="80"/>
      <c r="P9" s="80"/>
      <c r="Q9" s="80" t="s">
        <v>151</v>
      </c>
      <c r="R9" s="80" t="s">
        <v>19</v>
      </c>
      <c r="S9" s="19"/>
    </row>
    <row r="10" spans="1:19" ht="15.75" x14ac:dyDescent="0.25">
      <c r="A10" s="28">
        <v>9</v>
      </c>
      <c r="B10" s="21">
        <v>45157</v>
      </c>
      <c r="C10" s="80" t="s">
        <v>149</v>
      </c>
      <c r="D10" s="80" t="s">
        <v>150</v>
      </c>
      <c r="E10" s="80">
        <v>73</v>
      </c>
      <c r="F10" s="86" t="s">
        <v>30</v>
      </c>
      <c r="G10" s="91">
        <v>45146</v>
      </c>
      <c r="H10" s="80">
        <f t="shared" ref="H10:H11" si="2">DAYS360(G10,B10)</f>
        <v>11</v>
      </c>
      <c r="I10" s="80" t="s">
        <v>22</v>
      </c>
      <c r="J10" s="80">
        <v>1</v>
      </c>
      <c r="K10" s="80" t="s">
        <v>39</v>
      </c>
      <c r="L10" s="76" t="s">
        <v>41</v>
      </c>
      <c r="M10" s="80"/>
      <c r="N10" s="80"/>
      <c r="O10" s="80" t="s">
        <v>25</v>
      </c>
      <c r="P10" s="80"/>
      <c r="Q10" s="80" t="s">
        <v>151</v>
      </c>
      <c r="R10" s="80" t="s">
        <v>19</v>
      </c>
      <c r="S10" s="19"/>
    </row>
    <row r="11" spans="1:19" ht="15.75" x14ac:dyDescent="0.25">
      <c r="A11" s="28">
        <v>10</v>
      </c>
      <c r="B11" s="21">
        <v>45157</v>
      </c>
      <c r="C11" s="80" t="s">
        <v>181</v>
      </c>
      <c r="D11" s="80" t="s">
        <v>183</v>
      </c>
      <c r="E11" s="80">
        <v>86</v>
      </c>
      <c r="F11" s="86" t="s">
        <v>30</v>
      </c>
      <c r="G11" s="91">
        <v>45156</v>
      </c>
      <c r="H11" s="80">
        <f t="shared" si="2"/>
        <v>1</v>
      </c>
      <c r="I11" s="80" t="s">
        <v>16</v>
      </c>
      <c r="J11" s="80">
        <v>1</v>
      </c>
      <c r="K11" s="80" t="s">
        <v>39</v>
      </c>
      <c r="L11" s="76" t="s">
        <v>41</v>
      </c>
      <c r="M11" s="80"/>
      <c r="N11" s="80" t="s">
        <v>27</v>
      </c>
      <c r="O11" s="80"/>
      <c r="P11" s="80"/>
      <c r="Q11" s="80" t="s">
        <v>119</v>
      </c>
      <c r="R11" s="80" t="s">
        <v>19</v>
      </c>
      <c r="S11" s="19"/>
    </row>
    <row r="12" spans="1:19" ht="15.75" x14ac:dyDescent="0.25">
      <c r="A12" s="28">
        <v>11</v>
      </c>
      <c r="B12" s="21">
        <v>45157</v>
      </c>
      <c r="C12" s="80" t="s">
        <v>181</v>
      </c>
      <c r="D12" s="80" t="s">
        <v>183</v>
      </c>
      <c r="E12" s="80">
        <v>86</v>
      </c>
      <c r="F12" s="86" t="s">
        <v>30</v>
      </c>
      <c r="G12" s="91">
        <v>45156</v>
      </c>
      <c r="H12" s="80">
        <f t="shared" si="1"/>
        <v>1</v>
      </c>
      <c r="I12" s="80" t="s">
        <v>16</v>
      </c>
      <c r="J12" s="80">
        <v>1</v>
      </c>
      <c r="K12" s="80" t="s">
        <v>39</v>
      </c>
      <c r="L12" s="76" t="s">
        <v>41</v>
      </c>
      <c r="M12" s="80" t="s">
        <v>44</v>
      </c>
      <c r="N12" s="80"/>
      <c r="O12" s="80"/>
      <c r="P12" s="80"/>
      <c r="Q12" s="80" t="s">
        <v>119</v>
      </c>
      <c r="R12" s="80" t="s">
        <v>19</v>
      </c>
      <c r="S12" s="19"/>
    </row>
    <row r="13" spans="1:19" ht="15.75" x14ac:dyDescent="0.25">
      <c r="A13" s="28">
        <v>12</v>
      </c>
      <c r="B13" s="21">
        <v>45157</v>
      </c>
      <c r="C13" s="16" t="s">
        <v>102</v>
      </c>
      <c r="D13" s="80" t="s">
        <v>106</v>
      </c>
      <c r="E13" s="80">
        <v>68</v>
      </c>
      <c r="F13" s="86" t="s">
        <v>30</v>
      </c>
      <c r="G13" s="91">
        <v>45140</v>
      </c>
      <c r="H13" s="80">
        <f t="shared" si="1"/>
        <v>17</v>
      </c>
      <c r="I13" s="80" t="s">
        <v>22</v>
      </c>
      <c r="J13" s="80">
        <v>1.5</v>
      </c>
      <c r="K13" s="80" t="s">
        <v>17</v>
      </c>
      <c r="L13" s="76" t="s">
        <v>41</v>
      </c>
      <c r="M13" s="80" t="s">
        <v>27</v>
      </c>
      <c r="N13" s="80"/>
      <c r="O13" s="80"/>
      <c r="P13" s="80"/>
      <c r="Q13" s="80" t="s">
        <v>107</v>
      </c>
      <c r="R13" s="76" t="s">
        <v>19</v>
      </c>
      <c r="S13" s="19"/>
    </row>
    <row r="14" spans="1:19" ht="15.75" x14ac:dyDescent="0.25">
      <c r="A14" s="28">
        <v>13</v>
      </c>
      <c r="B14" s="21">
        <v>45157</v>
      </c>
      <c r="C14" s="80" t="s">
        <v>166</v>
      </c>
      <c r="D14" s="80" t="s">
        <v>167</v>
      </c>
      <c r="E14" s="80">
        <v>86</v>
      </c>
      <c r="F14" s="86" t="s">
        <v>30</v>
      </c>
      <c r="G14" s="91">
        <v>45153</v>
      </c>
      <c r="H14" s="80">
        <f t="shared" si="1"/>
        <v>4</v>
      </c>
      <c r="I14" s="80" t="s">
        <v>22</v>
      </c>
      <c r="J14" s="80">
        <v>1</v>
      </c>
      <c r="K14" s="80" t="s">
        <v>39</v>
      </c>
      <c r="L14" s="76" t="s">
        <v>41</v>
      </c>
      <c r="M14" s="80"/>
      <c r="N14" s="80"/>
      <c r="O14" s="80" t="s">
        <v>25</v>
      </c>
      <c r="P14" s="80"/>
      <c r="Q14" s="80" t="s">
        <v>68</v>
      </c>
      <c r="R14" s="80" t="s">
        <v>19</v>
      </c>
      <c r="S14" s="19"/>
    </row>
    <row r="15" spans="1:19" ht="15.75" x14ac:dyDescent="0.25">
      <c r="A15" s="28">
        <v>14</v>
      </c>
      <c r="B15" s="21">
        <v>45157</v>
      </c>
      <c r="C15" s="80" t="s">
        <v>163</v>
      </c>
      <c r="D15" s="80" t="s">
        <v>164</v>
      </c>
      <c r="E15" s="80">
        <v>85</v>
      </c>
      <c r="F15" s="86" t="s">
        <v>30</v>
      </c>
      <c r="G15" s="91">
        <v>45152</v>
      </c>
      <c r="H15" s="80">
        <f t="shared" si="1"/>
        <v>5</v>
      </c>
      <c r="I15" s="80" t="s">
        <v>26</v>
      </c>
      <c r="J15" s="80">
        <v>1</v>
      </c>
      <c r="K15" s="80" t="s">
        <v>17</v>
      </c>
      <c r="L15" s="76" t="s">
        <v>41</v>
      </c>
      <c r="M15" s="80" t="s">
        <v>46</v>
      </c>
      <c r="N15" s="80"/>
      <c r="O15" s="80"/>
      <c r="P15" s="80"/>
      <c r="Q15" s="80" t="s">
        <v>165</v>
      </c>
      <c r="R15" s="80" t="s">
        <v>19</v>
      </c>
      <c r="S15" s="19"/>
    </row>
    <row r="16" spans="1:19" ht="15.75" x14ac:dyDescent="0.25">
      <c r="A16" s="28">
        <v>15</v>
      </c>
      <c r="B16" s="21">
        <v>45157</v>
      </c>
      <c r="C16" s="80" t="s">
        <v>117</v>
      </c>
      <c r="D16" s="80" t="s">
        <v>118</v>
      </c>
      <c r="E16" s="80">
        <v>78</v>
      </c>
      <c r="F16" s="86" t="s">
        <v>30</v>
      </c>
      <c r="G16" s="91">
        <v>45141</v>
      </c>
      <c r="H16" s="80">
        <f t="shared" ref="H16" si="3">DAYS360(G16,B16)</f>
        <v>16</v>
      </c>
      <c r="I16" s="80" t="s">
        <v>16</v>
      </c>
      <c r="J16" s="80">
        <v>1.5</v>
      </c>
      <c r="K16" s="80" t="s">
        <v>39</v>
      </c>
      <c r="L16" s="76" t="s">
        <v>41</v>
      </c>
      <c r="M16" s="80" t="s">
        <v>44</v>
      </c>
      <c r="N16" s="80"/>
      <c r="O16" s="80"/>
      <c r="P16" s="80"/>
      <c r="Q16" s="80" t="s">
        <v>119</v>
      </c>
      <c r="R16" s="76" t="s">
        <v>19</v>
      </c>
      <c r="S16" s="76"/>
    </row>
    <row r="17" spans="1:19" ht="15.75" x14ac:dyDescent="0.25">
      <c r="A17" s="28">
        <v>16</v>
      </c>
      <c r="B17" s="21">
        <v>45157</v>
      </c>
      <c r="C17" s="80" t="s">
        <v>117</v>
      </c>
      <c r="D17" s="80" t="s">
        <v>118</v>
      </c>
      <c r="E17" s="80">
        <v>78</v>
      </c>
      <c r="F17" s="86" t="s">
        <v>30</v>
      </c>
      <c r="G17" s="91">
        <v>45141</v>
      </c>
      <c r="H17" s="80">
        <f t="shared" si="1"/>
        <v>16</v>
      </c>
      <c r="I17" s="80" t="s">
        <v>16</v>
      </c>
      <c r="J17" s="80">
        <v>1</v>
      </c>
      <c r="K17" s="80" t="s">
        <v>39</v>
      </c>
      <c r="L17" s="76" t="s">
        <v>41</v>
      </c>
      <c r="M17" s="80"/>
      <c r="N17" s="80" t="s">
        <v>27</v>
      </c>
      <c r="O17" s="80"/>
      <c r="P17" s="80"/>
      <c r="Q17" s="80" t="s">
        <v>119</v>
      </c>
      <c r="R17" s="76" t="s">
        <v>19</v>
      </c>
      <c r="S17" s="19"/>
    </row>
    <row r="18" spans="1:19" ht="15.75" x14ac:dyDescent="0.25">
      <c r="A18" s="28">
        <v>17</v>
      </c>
      <c r="B18" s="21">
        <v>45157</v>
      </c>
      <c r="C18" s="80" t="s">
        <v>160</v>
      </c>
      <c r="D18" s="80" t="s">
        <v>161</v>
      </c>
      <c r="E18" s="80">
        <v>58</v>
      </c>
      <c r="F18" s="86" t="s">
        <v>30</v>
      </c>
      <c r="G18" s="91">
        <v>45150</v>
      </c>
      <c r="H18" s="80">
        <f t="shared" si="1"/>
        <v>7</v>
      </c>
      <c r="I18" s="80" t="s">
        <v>26</v>
      </c>
      <c r="J18" s="80">
        <v>1</v>
      </c>
      <c r="K18" s="80" t="s">
        <v>17</v>
      </c>
      <c r="L18" s="76" t="s">
        <v>41</v>
      </c>
      <c r="M18" s="80" t="s">
        <v>27</v>
      </c>
      <c r="N18" s="80"/>
      <c r="O18" s="80"/>
      <c r="P18" s="80"/>
      <c r="Q18" s="80" t="s">
        <v>162</v>
      </c>
      <c r="R18" s="80" t="s">
        <v>19</v>
      </c>
      <c r="S18" s="19"/>
    </row>
    <row r="19" spans="1:19" ht="15.75" x14ac:dyDescent="0.25">
      <c r="A19" s="28">
        <v>18</v>
      </c>
      <c r="B19" s="21">
        <v>45157</v>
      </c>
      <c r="C19" s="85" t="s">
        <v>42</v>
      </c>
      <c r="D19" s="86" t="s">
        <v>43</v>
      </c>
      <c r="E19" s="86">
        <v>41</v>
      </c>
      <c r="F19" s="86" t="s">
        <v>30</v>
      </c>
      <c r="G19" s="69">
        <v>45114</v>
      </c>
      <c r="H19" s="80">
        <f t="shared" si="1"/>
        <v>42</v>
      </c>
      <c r="I19" s="86" t="s">
        <v>22</v>
      </c>
      <c r="J19" s="86">
        <v>1</v>
      </c>
      <c r="K19" s="86" t="s">
        <v>39</v>
      </c>
      <c r="L19" s="76" t="s">
        <v>41</v>
      </c>
      <c r="M19" s="86" t="s">
        <v>44</v>
      </c>
      <c r="N19" s="86"/>
      <c r="O19" s="86"/>
      <c r="P19" s="86"/>
      <c r="Q19" s="86" t="s">
        <v>45</v>
      </c>
      <c r="R19" s="76" t="s">
        <v>19</v>
      </c>
      <c r="S19" s="19"/>
    </row>
    <row r="20" spans="1:19" ht="15.75" x14ac:dyDescent="0.25">
      <c r="A20" s="28">
        <v>19</v>
      </c>
      <c r="B20" s="21">
        <v>45157</v>
      </c>
      <c r="C20" s="80" t="s">
        <v>109</v>
      </c>
      <c r="D20" s="80" t="s">
        <v>110</v>
      </c>
      <c r="E20" s="80">
        <v>56</v>
      </c>
      <c r="F20" s="86" t="s">
        <v>30</v>
      </c>
      <c r="G20" s="91">
        <v>45140</v>
      </c>
      <c r="H20" s="80">
        <f t="shared" si="1"/>
        <v>17</v>
      </c>
      <c r="I20" s="80" t="s">
        <v>111</v>
      </c>
      <c r="J20" s="80">
        <v>1.5</v>
      </c>
      <c r="K20" s="80" t="s">
        <v>17</v>
      </c>
      <c r="L20" s="76" t="s">
        <v>41</v>
      </c>
      <c r="M20" s="80" t="s">
        <v>44</v>
      </c>
      <c r="N20" s="80"/>
      <c r="O20" s="80"/>
      <c r="P20" s="80"/>
      <c r="Q20" s="80" t="s">
        <v>112</v>
      </c>
      <c r="R20" s="76" t="s">
        <v>19</v>
      </c>
      <c r="S20" s="19"/>
    </row>
    <row r="21" spans="1:19" ht="15.75" x14ac:dyDescent="0.25">
      <c r="A21" s="28">
        <v>20</v>
      </c>
      <c r="B21" s="21">
        <v>45157</v>
      </c>
      <c r="C21" s="80" t="s">
        <v>173</v>
      </c>
      <c r="D21" s="80" t="s">
        <v>174</v>
      </c>
      <c r="E21" s="80">
        <v>84</v>
      </c>
      <c r="F21" s="86" t="s">
        <v>30</v>
      </c>
      <c r="G21" s="91">
        <v>45154</v>
      </c>
      <c r="H21" s="80">
        <f t="shared" si="1"/>
        <v>3</v>
      </c>
      <c r="I21" s="80" t="s">
        <v>26</v>
      </c>
      <c r="J21" s="80">
        <v>1</v>
      </c>
      <c r="K21" s="80" t="s">
        <v>17</v>
      </c>
      <c r="L21" s="76" t="s">
        <v>41</v>
      </c>
      <c r="M21" s="80" t="s">
        <v>32</v>
      </c>
      <c r="N21" s="80"/>
      <c r="O21" s="80"/>
      <c r="P21" s="80"/>
      <c r="Q21" s="80" t="s">
        <v>175</v>
      </c>
      <c r="R21" s="80" t="s">
        <v>19</v>
      </c>
      <c r="S21" s="19"/>
    </row>
    <row r="22" spans="1:19" ht="15.75" x14ac:dyDescent="0.25">
      <c r="A22" s="28">
        <v>21</v>
      </c>
      <c r="B22" s="21">
        <v>45157</v>
      </c>
      <c r="C22" s="80" t="s">
        <v>79</v>
      </c>
      <c r="D22" s="80" t="s">
        <v>80</v>
      </c>
      <c r="E22" s="80">
        <v>66</v>
      </c>
      <c r="F22" s="86" t="s">
        <v>30</v>
      </c>
      <c r="G22" s="91">
        <v>45128</v>
      </c>
      <c r="H22" s="80">
        <f t="shared" si="1"/>
        <v>28</v>
      </c>
      <c r="I22" s="80" t="s">
        <v>16</v>
      </c>
      <c r="J22" s="80">
        <v>1</v>
      </c>
      <c r="K22" s="80" t="s">
        <v>17</v>
      </c>
      <c r="L22" s="76" t="s">
        <v>41</v>
      </c>
      <c r="M22" s="80" t="s">
        <v>27</v>
      </c>
      <c r="N22" s="80"/>
      <c r="O22" s="80"/>
      <c r="P22" s="80"/>
      <c r="Q22" s="80" t="s">
        <v>76</v>
      </c>
      <c r="R22" s="76" t="s">
        <v>19</v>
      </c>
      <c r="S22" s="19"/>
    </row>
    <row r="23" spans="1:19" ht="15.75" x14ac:dyDescent="0.25">
      <c r="A23" s="28">
        <v>22</v>
      </c>
      <c r="B23" s="21">
        <v>45157</v>
      </c>
      <c r="C23" s="80" t="s">
        <v>98</v>
      </c>
      <c r="D23" s="80" t="s">
        <v>99</v>
      </c>
      <c r="E23" s="80">
        <v>85</v>
      </c>
      <c r="F23" s="86" t="s">
        <v>30</v>
      </c>
      <c r="G23" s="91">
        <v>45138</v>
      </c>
      <c r="H23" s="80">
        <f t="shared" si="1"/>
        <v>19</v>
      </c>
      <c r="I23" s="80" t="s">
        <v>16</v>
      </c>
      <c r="J23" s="80">
        <v>1</v>
      </c>
      <c r="K23" s="80" t="s">
        <v>17</v>
      </c>
      <c r="L23" s="76" t="s">
        <v>41</v>
      </c>
      <c r="M23" s="80" t="s">
        <v>44</v>
      </c>
      <c r="N23" s="80"/>
      <c r="O23" s="80"/>
      <c r="P23" s="80"/>
      <c r="Q23" s="80" t="s">
        <v>101</v>
      </c>
      <c r="R23" s="76" t="s">
        <v>19</v>
      </c>
      <c r="S23" s="19"/>
    </row>
    <row r="24" spans="1:19" ht="15.75" x14ac:dyDescent="0.25">
      <c r="A24" s="28"/>
      <c r="B24" s="19"/>
      <c r="C24" s="80"/>
      <c r="D24" s="80"/>
      <c r="E24" s="80"/>
      <c r="F24" s="77"/>
      <c r="G24" s="91"/>
      <c r="H24" s="82"/>
      <c r="I24" s="80"/>
      <c r="J24" s="80"/>
      <c r="K24" s="80"/>
      <c r="L24" s="76"/>
      <c r="M24" s="80"/>
      <c r="N24" s="80"/>
      <c r="O24" s="80"/>
      <c r="P24" s="80"/>
      <c r="Q24" s="80"/>
      <c r="R24" s="76"/>
      <c r="S24" s="19"/>
    </row>
    <row r="25" spans="1:19" ht="15.75" x14ac:dyDescent="0.25">
      <c r="A25" s="28"/>
      <c r="B25" s="19"/>
      <c r="C25" s="80"/>
      <c r="D25" s="80"/>
      <c r="E25" s="80"/>
      <c r="F25" s="77"/>
      <c r="G25" s="91"/>
      <c r="H25" s="82"/>
      <c r="I25" s="79"/>
      <c r="J25" s="80"/>
      <c r="K25" s="80"/>
      <c r="L25" s="76"/>
      <c r="M25" s="80"/>
      <c r="N25" s="80"/>
      <c r="O25" s="80"/>
      <c r="P25" s="80"/>
      <c r="Q25" s="80"/>
      <c r="R25" s="76"/>
      <c r="S25" s="19"/>
    </row>
    <row r="26" spans="1:19" ht="15.75" x14ac:dyDescent="0.25">
      <c r="A26" s="28"/>
      <c r="B26" s="19"/>
      <c r="C26" s="80"/>
      <c r="D26" s="80"/>
      <c r="E26" s="80"/>
      <c r="F26" s="89"/>
      <c r="G26" s="91"/>
      <c r="H26" s="82"/>
      <c r="I26" s="80"/>
      <c r="J26" s="80"/>
      <c r="K26" s="80"/>
      <c r="L26" s="76"/>
      <c r="M26" s="80"/>
      <c r="N26" s="80"/>
      <c r="O26" s="80"/>
      <c r="P26" s="80"/>
      <c r="Q26" s="90"/>
      <c r="R26" s="76"/>
      <c r="S26" s="19"/>
    </row>
    <row r="27" spans="1:19" ht="15.75" customHeight="1" x14ac:dyDescent="0.25">
      <c r="A27" s="28"/>
      <c r="B27" s="19"/>
      <c r="C27" s="80"/>
      <c r="D27" s="80"/>
      <c r="E27" s="80"/>
      <c r="F27" s="89"/>
      <c r="G27" s="91"/>
      <c r="H27" s="82"/>
      <c r="I27" s="80"/>
      <c r="J27" s="80"/>
      <c r="K27" s="80"/>
      <c r="L27" s="76"/>
      <c r="M27" s="80"/>
      <c r="N27" s="80"/>
      <c r="O27" s="80"/>
      <c r="P27" s="80"/>
      <c r="Q27" s="90"/>
      <c r="R27" s="76"/>
      <c r="S27" s="19"/>
    </row>
    <row r="28" spans="1:19" ht="15.75" customHeight="1" x14ac:dyDescent="0.25">
      <c r="A28" s="28"/>
      <c r="B28" s="19"/>
      <c r="C28" s="80"/>
      <c r="D28" s="80"/>
      <c r="E28" s="80"/>
      <c r="F28" s="89"/>
      <c r="G28" s="91"/>
      <c r="H28" s="82"/>
      <c r="I28" s="80"/>
      <c r="J28" s="80"/>
      <c r="K28" s="80"/>
      <c r="L28" s="76"/>
      <c r="M28" s="80"/>
      <c r="N28" s="80"/>
      <c r="O28" s="80"/>
      <c r="P28" s="80"/>
      <c r="Q28" s="90"/>
      <c r="R28" s="76"/>
      <c r="S28" s="19"/>
    </row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01"/>
  <sheetViews>
    <sheetView topLeftCell="C1" zoomScale="69" zoomScaleNormal="69" workbookViewId="0">
      <selection activeCell="J10" sqref="J10"/>
    </sheetView>
  </sheetViews>
  <sheetFormatPr baseColWidth="10" defaultColWidth="14.42578125" defaultRowHeight="15" customHeight="1" x14ac:dyDescent="0.25"/>
  <cols>
    <col min="1" max="1" width="6.5703125" customWidth="1"/>
    <col min="2" max="2" width="20.42578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23.140625" customWidth="1"/>
    <col min="8" max="8" width="10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57.57031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28">
        <v>1</v>
      </c>
      <c r="B2" s="21">
        <v>45158</v>
      </c>
      <c r="C2" s="80" t="s">
        <v>166</v>
      </c>
      <c r="D2" s="80" t="s">
        <v>167</v>
      </c>
      <c r="E2" s="80">
        <v>86</v>
      </c>
      <c r="F2" s="80" t="s">
        <v>30</v>
      </c>
      <c r="G2" s="91">
        <v>45153</v>
      </c>
      <c r="H2" s="80">
        <f>DAYS360(G2,B2)</f>
        <v>5</v>
      </c>
      <c r="I2" s="80" t="s">
        <v>22</v>
      </c>
      <c r="J2" s="80">
        <v>1</v>
      </c>
      <c r="K2" s="80" t="s">
        <v>39</v>
      </c>
      <c r="L2" s="76" t="s">
        <v>41</v>
      </c>
      <c r="M2" s="80"/>
      <c r="N2" s="80"/>
      <c r="O2" s="80" t="s">
        <v>25</v>
      </c>
      <c r="P2" s="80"/>
      <c r="Q2" s="80" t="s">
        <v>68</v>
      </c>
      <c r="R2" s="80" t="s">
        <v>19</v>
      </c>
      <c r="S2" s="19"/>
    </row>
    <row r="3" spans="1:19" ht="15.75" x14ac:dyDescent="0.25">
      <c r="A3" s="28">
        <v>2</v>
      </c>
      <c r="B3" s="21">
        <v>45158</v>
      </c>
      <c r="C3" s="80" t="s">
        <v>177</v>
      </c>
      <c r="D3" s="80" t="s">
        <v>178</v>
      </c>
      <c r="E3" s="80">
        <v>94</v>
      </c>
      <c r="F3" s="80" t="s">
        <v>30</v>
      </c>
      <c r="G3" s="91">
        <v>45155</v>
      </c>
      <c r="H3" s="80">
        <f t="shared" ref="H3:H20" si="0">DAYS360(G3,B3)</f>
        <v>3</v>
      </c>
      <c r="I3" s="80" t="s">
        <v>179</v>
      </c>
      <c r="J3" s="80">
        <v>1</v>
      </c>
      <c r="K3" s="80" t="s">
        <v>17</v>
      </c>
      <c r="L3" s="76" t="s">
        <v>41</v>
      </c>
      <c r="M3" s="80" t="s">
        <v>27</v>
      </c>
      <c r="N3" s="80"/>
      <c r="O3" s="80"/>
      <c r="P3" s="80"/>
      <c r="Q3" s="80" t="s">
        <v>119</v>
      </c>
      <c r="R3" s="80" t="s">
        <v>19</v>
      </c>
      <c r="S3" s="19"/>
    </row>
    <row r="4" spans="1:19" ht="15.75" x14ac:dyDescent="0.25">
      <c r="A4" s="28">
        <v>3</v>
      </c>
      <c r="B4" s="21">
        <v>45158</v>
      </c>
      <c r="C4" s="80" t="s">
        <v>180</v>
      </c>
      <c r="D4" s="80" t="s">
        <v>182</v>
      </c>
      <c r="E4" s="80">
        <v>85</v>
      </c>
      <c r="F4" s="80" t="s">
        <v>30</v>
      </c>
      <c r="G4" s="91">
        <v>45156</v>
      </c>
      <c r="H4" s="80">
        <f t="shared" ref="H4" si="1">DAYS360(G4,B4)</f>
        <v>2</v>
      </c>
      <c r="I4" s="80" t="s">
        <v>22</v>
      </c>
      <c r="J4" s="80">
        <v>1</v>
      </c>
      <c r="K4" s="80" t="s">
        <v>39</v>
      </c>
      <c r="L4" s="76" t="s">
        <v>41</v>
      </c>
      <c r="M4" s="80" t="s">
        <v>46</v>
      </c>
      <c r="N4" s="80"/>
      <c r="O4" s="80"/>
      <c r="P4" s="80"/>
      <c r="Q4" s="80" t="s">
        <v>189</v>
      </c>
      <c r="R4" s="80" t="s">
        <v>19</v>
      </c>
      <c r="S4" s="19"/>
    </row>
    <row r="5" spans="1:19" ht="15.75" x14ac:dyDescent="0.25">
      <c r="A5" s="28">
        <v>4</v>
      </c>
      <c r="B5" s="21">
        <v>45158</v>
      </c>
      <c r="C5" s="80" t="s">
        <v>180</v>
      </c>
      <c r="D5" s="80" t="s">
        <v>182</v>
      </c>
      <c r="E5" s="80">
        <v>85</v>
      </c>
      <c r="F5" s="80" t="s">
        <v>30</v>
      </c>
      <c r="G5" s="91">
        <v>45156</v>
      </c>
      <c r="H5" s="80">
        <f t="shared" si="0"/>
        <v>2</v>
      </c>
      <c r="I5" s="80" t="s">
        <v>22</v>
      </c>
      <c r="J5" s="80">
        <v>1</v>
      </c>
      <c r="K5" s="80" t="s">
        <v>39</v>
      </c>
      <c r="L5" s="76" t="s">
        <v>41</v>
      </c>
      <c r="M5" s="80"/>
      <c r="N5" s="80"/>
      <c r="O5" s="80" t="s">
        <v>25</v>
      </c>
      <c r="P5" s="80"/>
      <c r="Q5" s="80" t="s">
        <v>189</v>
      </c>
      <c r="R5" s="80" t="s">
        <v>19</v>
      </c>
      <c r="S5" s="19"/>
    </row>
    <row r="6" spans="1:19" ht="15.75" x14ac:dyDescent="0.25">
      <c r="A6" s="28">
        <v>5</v>
      </c>
      <c r="B6" s="21">
        <v>45158</v>
      </c>
      <c r="C6" s="80" t="s">
        <v>152</v>
      </c>
      <c r="D6" s="80" t="s">
        <v>153</v>
      </c>
      <c r="E6" s="80">
        <v>60</v>
      </c>
      <c r="F6" s="80" t="s">
        <v>30</v>
      </c>
      <c r="G6" s="91">
        <v>45147</v>
      </c>
      <c r="H6" s="80">
        <f t="shared" si="0"/>
        <v>11</v>
      </c>
      <c r="I6" s="80" t="s">
        <v>22</v>
      </c>
      <c r="J6" s="80">
        <v>1</v>
      </c>
      <c r="K6" s="80" t="s">
        <v>39</v>
      </c>
      <c r="L6" s="76" t="s">
        <v>41</v>
      </c>
      <c r="M6" s="80"/>
      <c r="N6" s="80" t="s">
        <v>27</v>
      </c>
      <c r="O6" s="80"/>
      <c r="P6" s="80"/>
      <c r="Q6" s="80" t="s">
        <v>76</v>
      </c>
      <c r="R6" s="80" t="s">
        <v>19</v>
      </c>
      <c r="S6" s="19"/>
    </row>
    <row r="7" spans="1:19" ht="15.75" x14ac:dyDescent="0.25">
      <c r="A7" s="28">
        <v>6</v>
      </c>
      <c r="B7" s="21">
        <v>45158</v>
      </c>
      <c r="C7" s="77" t="s">
        <v>47</v>
      </c>
      <c r="D7" s="77" t="s">
        <v>48</v>
      </c>
      <c r="E7" s="77">
        <v>73</v>
      </c>
      <c r="F7" s="80" t="s">
        <v>30</v>
      </c>
      <c r="G7" s="95">
        <v>45150</v>
      </c>
      <c r="H7" s="80">
        <f t="shared" si="0"/>
        <v>8</v>
      </c>
      <c r="I7" s="77" t="s">
        <v>16</v>
      </c>
      <c r="J7" s="77">
        <v>1.5</v>
      </c>
      <c r="K7" s="77" t="s">
        <v>17</v>
      </c>
      <c r="L7" s="76" t="s">
        <v>41</v>
      </c>
      <c r="M7" s="77" t="s">
        <v>32</v>
      </c>
      <c r="N7" s="77"/>
      <c r="O7" s="77"/>
      <c r="P7" s="77"/>
      <c r="Q7" s="77" t="s">
        <v>49</v>
      </c>
      <c r="R7" s="76" t="s">
        <v>19</v>
      </c>
      <c r="S7" s="19"/>
    </row>
    <row r="8" spans="1:19" ht="15.75" x14ac:dyDescent="0.25">
      <c r="A8" s="28">
        <v>7</v>
      </c>
      <c r="B8" s="21">
        <v>45158</v>
      </c>
      <c r="C8" s="80" t="s">
        <v>163</v>
      </c>
      <c r="D8" s="80" t="s">
        <v>164</v>
      </c>
      <c r="E8" s="80">
        <v>85</v>
      </c>
      <c r="F8" s="80" t="s">
        <v>30</v>
      </c>
      <c r="G8" s="91">
        <v>45152</v>
      </c>
      <c r="H8" s="80">
        <f t="shared" ref="H8" si="2">DAYS360(G8,B8)</f>
        <v>6</v>
      </c>
      <c r="I8" s="80" t="s">
        <v>26</v>
      </c>
      <c r="J8" s="80">
        <v>1</v>
      </c>
      <c r="K8" s="80" t="s">
        <v>17</v>
      </c>
      <c r="L8" s="76" t="s">
        <v>41</v>
      </c>
      <c r="M8" s="80"/>
      <c r="N8" s="80" t="s">
        <v>27</v>
      </c>
      <c r="O8" s="80"/>
      <c r="P8" s="80"/>
      <c r="Q8" s="80" t="s">
        <v>165</v>
      </c>
      <c r="R8" s="80" t="s">
        <v>19</v>
      </c>
      <c r="S8" s="19"/>
    </row>
    <row r="9" spans="1:19" ht="15.75" x14ac:dyDescent="0.25">
      <c r="A9" s="28">
        <v>8</v>
      </c>
      <c r="B9" s="21">
        <v>45158</v>
      </c>
      <c r="C9" s="80" t="s">
        <v>163</v>
      </c>
      <c r="D9" s="80" t="s">
        <v>164</v>
      </c>
      <c r="E9" s="80">
        <v>85</v>
      </c>
      <c r="F9" s="80" t="s">
        <v>30</v>
      </c>
      <c r="G9" s="91">
        <v>45152</v>
      </c>
      <c r="H9" s="80">
        <f t="shared" si="0"/>
        <v>6</v>
      </c>
      <c r="I9" s="80" t="s">
        <v>26</v>
      </c>
      <c r="J9" s="80">
        <v>1</v>
      </c>
      <c r="K9" s="80" t="s">
        <v>17</v>
      </c>
      <c r="L9" s="76" t="s">
        <v>41</v>
      </c>
      <c r="M9" s="80" t="s">
        <v>46</v>
      </c>
      <c r="N9" s="80"/>
      <c r="O9" s="80"/>
      <c r="P9" s="80"/>
      <c r="Q9" s="80" t="s">
        <v>165</v>
      </c>
      <c r="R9" s="80" t="s">
        <v>19</v>
      </c>
      <c r="S9" s="19"/>
    </row>
    <row r="10" spans="1:19" ht="15.75" x14ac:dyDescent="0.25">
      <c r="A10" s="28">
        <v>9</v>
      </c>
      <c r="B10" s="21">
        <v>45158</v>
      </c>
      <c r="C10" s="80" t="s">
        <v>117</v>
      </c>
      <c r="D10" s="80" t="s">
        <v>118</v>
      </c>
      <c r="E10" s="80">
        <v>78</v>
      </c>
      <c r="F10" s="80" t="s">
        <v>30</v>
      </c>
      <c r="G10" s="91">
        <v>45141</v>
      </c>
      <c r="H10" s="80">
        <f t="shared" si="0"/>
        <v>17</v>
      </c>
      <c r="I10" s="80" t="s">
        <v>16</v>
      </c>
      <c r="J10" s="80">
        <v>1.5</v>
      </c>
      <c r="K10" s="80" t="s">
        <v>39</v>
      </c>
      <c r="L10" s="76" t="s">
        <v>41</v>
      </c>
      <c r="M10" s="80"/>
      <c r="N10" s="80" t="s">
        <v>27</v>
      </c>
      <c r="O10" s="80"/>
      <c r="P10" s="80"/>
      <c r="Q10" s="80" t="s">
        <v>119</v>
      </c>
      <c r="R10" s="76" t="s">
        <v>19</v>
      </c>
      <c r="S10" s="19"/>
    </row>
    <row r="11" spans="1:19" ht="15.75" x14ac:dyDescent="0.25">
      <c r="A11" s="28">
        <v>10</v>
      </c>
      <c r="B11" s="21">
        <v>45158</v>
      </c>
      <c r="C11" s="80" t="s">
        <v>117</v>
      </c>
      <c r="D11" s="80" t="s">
        <v>118</v>
      </c>
      <c r="E11" s="80">
        <v>78</v>
      </c>
      <c r="F11" s="80" t="s">
        <v>30</v>
      </c>
      <c r="G11" s="91">
        <v>45141</v>
      </c>
      <c r="H11" s="80">
        <f t="shared" si="0"/>
        <v>17</v>
      </c>
      <c r="I11" s="80" t="s">
        <v>16</v>
      </c>
      <c r="J11" s="80">
        <v>1.5</v>
      </c>
      <c r="K11" s="80" t="s">
        <v>39</v>
      </c>
      <c r="L11" s="76" t="s">
        <v>41</v>
      </c>
      <c r="M11" s="80" t="s">
        <v>44</v>
      </c>
      <c r="N11" s="80"/>
      <c r="O11" s="80"/>
      <c r="P11" s="80"/>
      <c r="Q11" s="80" t="s">
        <v>119</v>
      </c>
      <c r="R11" s="76" t="s">
        <v>19</v>
      </c>
      <c r="S11" s="19"/>
    </row>
    <row r="12" spans="1:19" ht="15.75" x14ac:dyDescent="0.25">
      <c r="A12" s="28">
        <v>11</v>
      </c>
      <c r="B12" s="21">
        <v>45158</v>
      </c>
      <c r="C12" s="80" t="s">
        <v>146</v>
      </c>
      <c r="D12" s="80" t="s">
        <v>147</v>
      </c>
      <c r="E12" s="80">
        <v>88</v>
      </c>
      <c r="F12" s="80" t="s">
        <v>30</v>
      </c>
      <c r="G12" s="91">
        <v>45147</v>
      </c>
      <c r="H12" s="80">
        <f t="shared" si="0"/>
        <v>11</v>
      </c>
      <c r="I12" s="80" t="s">
        <v>26</v>
      </c>
      <c r="J12" s="80">
        <v>1</v>
      </c>
      <c r="K12" s="80" t="s">
        <v>17</v>
      </c>
      <c r="L12" s="76" t="s">
        <v>41</v>
      </c>
      <c r="M12" s="80" t="s">
        <v>27</v>
      </c>
      <c r="N12" s="80"/>
      <c r="O12" s="80"/>
      <c r="P12" s="80"/>
      <c r="Q12" s="80" t="s">
        <v>148</v>
      </c>
      <c r="R12" s="80" t="s">
        <v>19</v>
      </c>
      <c r="S12" s="19"/>
    </row>
    <row r="13" spans="1:19" ht="15.75" x14ac:dyDescent="0.25">
      <c r="A13" s="28">
        <v>12</v>
      </c>
      <c r="B13" s="21">
        <v>45158</v>
      </c>
      <c r="C13" s="80" t="s">
        <v>146</v>
      </c>
      <c r="D13" s="80" t="s">
        <v>147</v>
      </c>
      <c r="E13" s="80">
        <v>88</v>
      </c>
      <c r="F13" s="80" t="s">
        <v>30</v>
      </c>
      <c r="G13" s="91">
        <v>45147</v>
      </c>
      <c r="H13" s="80">
        <f t="shared" si="0"/>
        <v>11</v>
      </c>
      <c r="I13" s="80" t="s">
        <v>26</v>
      </c>
      <c r="J13" s="80">
        <v>1</v>
      </c>
      <c r="K13" s="80" t="s">
        <v>17</v>
      </c>
      <c r="L13" s="76" t="s">
        <v>41</v>
      </c>
      <c r="M13" s="80" t="s">
        <v>32</v>
      </c>
      <c r="N13" s="80"/>
      <c r="O13" s="80"/>
      <c r="P13" s="80"/>
      <c r="Q13" s="80" t="s">
        <v>148</v>
      </c>
      <c r="R13" s="80" t="s">
        <v>19</v>
      </c>
      <c r="S13" s="19"/>
    </row>
    <row r="14" spans="1:19" ht="15.75" x14ac:dyDescent="0.25">
      <c r="A14" s="28">
        <v>13</v>
      </c>
      <c r="B14" s="21">
        <v>45158</v>
      </c>
      <c r="C14" s="80" t="s">
        <v>170</v>
      </c>
      <c r="D14" s="80" t="s">
        <v>171</v>
      </c>
      <c r="E14" s="80">
        <v>84</v>
      </c>
      <c r="F14" s="80" t="s">
        <v>30</v>
      </c>
      <c r="G14" s="91">
        <v>45154</v>
      </c>
      <c r="H14" s="80">
        <f t="shared" si="0"/>
        <v>4</v>
      </c>
      <c r="I14" s="80" t="s">
        <v>97</v>
      </c>
      <c r="J14" s="80">
        <v>1</v>
      </c>
      <c r="K14" s="80" t="s">
        <v>17</v>
      </c>
      <c r="L14" s="76" t="s">
        <v>41</v>
      </c>
      <c r="M14" s="80" t="s">
        <v>44</v>
      </c>
      <c r="N14" s="80"/>
      <c r="O14" s="80"/>
      <c r="P14" s="80"/>
      <c r="Q14" s="80" t="s">
        <v>172</v>
      </c>
      <c r="R14" s="80" t="s">
        <v>19</v>
      </c>
      <c r="S14" s="19"/>
    </row>
    <row r="15" spans="1:19" ht="15.75" x14ac:dyDescent="0.25">
      <c r="A15" s="28">
        <v>14</v>
      </c>
      <c r="B15" s="21">
        <v>45158</v>
      </c>
      <c r="C15" s="80" t="s">
        <v>95</v>
      </c>
      <c r="D15" s="80" t="s">
        <v>96</v>
      </c>
      <c r="E15" s="80">
        <v>74</v>
      </c>
      <c r="F15" s="80" t="s">
        <v>30</v>
      </c>
      <c r="G15" s="91">
        <v>45154</v>
      </c>
      <c r="H15" s="80">
        <f t="shared" si="0"/>
        <v>4</v>
      </c>
      <c r="I15" s="80" t="s">
        <v>97</v>
      </c>
      <c r="J15" s="80">
        <v>1.5</v>
      </c>
      <c r="K15" s="80" t="s">
        <v>17</v>
      </c>
      <c r="L15" s="76" t="s">
        <v>41</v>
      </c>
      <c r="M15" s="80" t="s">
        <v>44</v>
      </c>
      <c r="N15" s="80"/>
      <c r="O15" s="80"/>
      <c r="P15" s="80"/>
      <c r="Q15" s="80" t="s">
        <v>100</v>
      </c>
      <c r="R15" s="76" t="s">
        <v>19</v>
      </c>
      <c r="S15" s="19"/>
    </row>
    <row r="16" spans="1:19" ht="15.75" x14ac:dyDescent="0.25">
      <c r="A16" s="28">
        <v>15</v>
      </c>
      <c r="B16" s="21">
        <v>45158</v>
      </c>
      <c r="C16" s="80" t="s">
        <v>95</v>
      </c>
      <c r="D16" s="80" t="s">
        <v>96</v>
      </c>
      <c r="E16" s="80">
        <v>74</v>
      </c>
      <c r="F16" s="80" t="s">
        <v>30</v>
      </c>
      <c r="G16" s="91">
        <v>45154</v>
      </c>
      <c r="H16" s="80">
        <f t="shared" si="0"/>
        <v>4</v>
      </c>
      <c r="I16" s="80" t="s">
        <v>97</v>
      </c>
      <c r="J16" s="80">
        <v>1.5</v>
      </c>
      <c r="K16" s="80" t="s">
        <v>17</v>
      </c>
      <c r="L16" s="76" t="s">
        <v>41</v>
      </c>
      <c r="M16" s="80" t="s">
        <v>27</v>
      </c>
      <c r="N16" s="80"/>
      <c r="O16" s="80"/>
      <c r="P16" s="80"/>
      <c r="Q16" s="80" t="s">
        <v>100</v>
      </c>
      <c r="R16" s="76" t="s">
        <v>19</v>
      </c>
      <c r="S16" s="19"/>
    </row>
    <row r="17" spans="1:19" ht="15.75" x14ac:dyDescent="0.25">
      <c r="A17" s="28">
        <v>16</v>
      </c>
      <c r="B17" s="21">
        <v>45158</v>
      </c>
      <c r="C17" s="80" t="s">
        <v>149</v>
      </c>
      <c r="D17" s="80" t="s">
        <v>150</v>
      </c>
      <c r="E17" s="80">
        <v>73</v>
      </c>
      <c r="F17" s="80" t="s">
        <v>30</v>
      </c>
      <c r="G17" s="91">
        <v>45146</v>
      </c>
      <c r="H17" s="80">
        <f t="shared" si="0"/>
        <v>12</v>
      </c>
      <c r="I17" s="80" t="s">
        <v>22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151</v>
      </c>
      <c r="R17" s="80" t="s">
        <v>19</v>
      </c>
      <c r="S17" s="19"/>
    </row>
    <row r="18" spans="1:19" ht="15.75" x14ac:dyDescent="0.25">
      <c r="A18" s="28">
        <v>17</v>
      </c>
      <c r="B18" s="21">
        <v>45158</v>
      </c>
      <c r="C18" s="80" t="s">
        <v>181</v>
      </c>
      <c r="D18" s="80" t="s">
        <v>183</v>
      </c>
      <c r="E18" s="80">
        <v>86</v>
      </c>
      <c r="F18" s="80" t="s">
        <v>30</v>
      </c>
      <c r="G18" s="91">
        <v>45156</v>
      </c>
      <c r="H18" s="80">
        <f t="shared" si="0"/>
        <v>2</v>
      </c>
      <c r="I18" s="80" t="s">
        <v>16</v>
      </c>
      <c r="J18" s="80">
        <v>1</v>
      </c>
      <c r="K18" s="80" t="s">
        <v>39</v>
      </c>
      <c r="L18" s="76" t="s">
        <v>41</v>
      </c>
      <c r="M18" s="80"/>
      <c r="N18" s="80" t="s">
        <v>27</v>
      </c>
      <c r="O18" s="80"/>
      <c r="P18" s="80"/>
      <c r="Q18" s="80" t="s">
        <v>119</v>
      </c>
      <c r="R18" s="80" t="s">
        <v>19</v>
      </c>
      <c r="S18" s="19"/>
    </row>
    <row r="19" spans="1:19" ht="15.75" x14ac:dyDescent="0.25">
      <c r="A19" s="28">
        <v>18</v>
      </c>
      <c r="B19" s="21">
        <v>45158</v>
      </c>
      <c r="C19" s="80" t="s">
        <v>184</v>
      </c>
      <c r="D19" s="80" t="s">
        <v>185</v>
      </c>
      <c r="E19" s="80">
        <v>59</v>
      </c>
      <c r="F19" s="80" t="s">
        <v>30</v>
      </c>
      <c r="G19" s="91">
        <v>45157</v>
      </c>
      <c r="H19" s="80">
        <f t="shared" si="0"/>
        <v>1</v>
      </c>
      <c r="I19" s="80" t="s">
        <v>26</v>
      </c>
      <c r="J19" s="80">
        <v>1</v>
      </c>
      <c r="K19" s="80" t="s">
        <v>188</v>
      </c>
      <c r="L19" s="76" t="s">
        <v>41</v>
      </c>
      <c r="M19" s="80" t="s">
        <v>27</v>
      </c>
      <c r="N19" s="80"/>
      <c r="O19" s="80"/>
      <c r="P19" s="80"/>
      <c r="Q19" s="80" t="s">
        <v>190</v>
      </c>
      <c r="R19" s="80" t="s">
        <v>19</v>
      </c>
      <c r="S19" s="19"/>
    </row>
    <row r="20" spans="1:19" ht="15.75" x14ac:dyDescent="0.25">
      <c r="A20" s="28">
        <v>19</v>
      </c>
      <c r="B20" s="21">
        <v>45158</v>
      </c>
      <c r="C20" s="80" t="s">
        <v>186</v>
      </c>
      <c r="D20" s="80" t="s">
        <v>187</v>
      </c>
      <c r="E20" s="80">
        <v>52</v>
      </c>
      <c r="F20" s="80" t="s">
        <v>30</v>
      </c>
      <c r="G20" s="91">
        <v>45157</v>
      </c>
      <c r="H20" s="80">
        <f t="shared" si="0"/>
        <v>1</v>
      </c>
      <c r="I20" s="80" t="s">
        <v>26</v>
      </c>
      <c r="J20" s="80">
        <v>1</v>
      </c>
      <c r="K20" s="80" t="s">
        <v>17</v>
      </c>
      <c r="L20" s="76" t="s">
        <v>41</v>
      </c>
      <c r="M20" s="80" t="s">
        <v>27</v>
      </c>
      <c r="N20" s="80"/>
      <c r="O20" s="80"/>
      <c r="P20" s="80"/>
      <c r="Q20" s="80" t="s">
        <v>148</v>
      </c>
      <c r="R20" s="80" t="s">
        <v>19</v>
      </c>
      <c r="S20" s="19"/>
    </row>
    <row r="21" spans="1:19" ht="15.75" x14ac:dyDescent="0.25">
      <c r="A21" s="28"/>
      <c r="B21" s="21"/>
      <c r="C21" s="79"/>
      <c r="D21" s="79"/>
      <c r="E21" s="79"/>
      <c r="F21" s="89"/>
      <c r="G21" s="96"/>
      <c r="H21" s="80"/>
      <c r="I21" s="79"/>
      <c r="J21" s="79"/>
      <c r="K21" s="79"/>
      <c r="L21" s="76"/>
      <c r="M21" s="79"/>
      <c r="N21" s="79"/>
      <c r="O21" s="79"/>
      <c r="P21" s="79"/>
      <c r="Q21" s="79"/>
      <c r="R21" s="76"/>
      <c r="S21" s="19"/>
    </row>
    <row r="22" spans="1:19" ht="15.75" x14ac:dyDescent="0.25">
      <c r="A22" s="28"/>
      <c r="B22" s="21"/>
      <c r="C22" s="80"/>
      <c r="D22" s="80"/>
      <c r="E22" s="80"/>
      <c r="F22" s="89"/>
      <c r="G22" s="91"/>
      <c r="H22" s="80"/>
      <c r="I22" s="80"/>
      <c r="J22" s="80"/>
      <c r="K22" s="80"/>
      <c r="L22" s="76"/>
      <c r="M22" s="80"/>
      <c r="N22" s="80"/>
      <c r="O22" s="80"/>
      <c r="P22" s="80"/>
      <c r="Q22" s="80"/>
      <c r="R22" s="76"/>
      <c r="S22" s="19"/>
    </row>
    <row r="23" spans="1:19" ht="15.75" customHeight="1" x14ac:dyDescent="0.25">
      <c r="A23" s="2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002"/>
  <sheetViews>
    <sheetView zoomScale="50" zoomScaleNormal="50" workbookViewId="0">
      <selection activeCell="I14" sqref="I14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43.7109375" customWidth="1"/>
    <col min="4" max="4" width="12.7109375" customWidth="1"/>
    <col min="5" max="5" width="6.5703125" customWidth="1"/>
    <col min="6" max="6" width="17.42578125" customWidth="1"/>
    <col min="7" max="7" width="20.5703125" customWidth="1"/>
    <col min="8" max="8" width="13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20.7109375" customWidth="1"/>
    <col min="14" max="14" width="16.140625" customWidth="1"/>
    <col min="15" max="15" width="8" customWidth="1"/>
    <col min="16" max="16" width="9.5703125" customWidth="1"/>
    <col min="17" max="17" width="53.57031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>
        <v>1</v>
      </c>
      <c r="B2" s="127">
        <v>45159</v>
      </c>
      <c r="C2" s="80" t="s">
        <v>170</v>
      </c>
      <c r="D2" s="80" t="s">
        <v>171</v>
      </c>
      <c r="E2" s="80">
        <v>84</v>
      </c>
      <c r="F2" s="80" t="s">
        <v>30</v>
      </c>
      <c r="G2" s="91">
        <v>45154</v>
      </c>
      <c r="H2" s="80">
        <f>DAYS360(G2,B2)</f>
        <v>5</v>
      </c>
      <c r="I2" s="80" t="s">
        <v>97</v>
      </c>
      <c r="J2" s="80">
        <v>1</v>
      </c>
      <c r="K2" s="80" t="s">
        <v>17</v>
      </c>
      <c r="L2" s="76" t="s">
        <v>41</v>
      </c>
      <c r="M2" s="80" t="s">
        <v>44</v>
      </c>
      <c r="N2" s="80"/>
      <c r="O2" s="80"/>
      <c r="P2" s="80"/>
      <c r="Q2" s="80" t="s">
        <v>172</v>
      </c>
      <c r="R2" s="80" t="s">
        <v>19</v>
      </c>
      <c r="S2" s="19"/>
    </row>
    <row r="3" spans="1:19" ht="15.75" x14ac:dyDescent="0.25">
      <c r="A3" s="80">
        <v>2</v>
      </c>
      <c r="B3" s="127">
        <v>45159</v>
      </c>
      <c r="C3" s="80" t="s">
        <v>163</v>
      </c>
      <c r="D3" s="80" t="s">
        <v>164</v>
      </c>
      <c r="E3" s="80">
        <v>85</v>
      </c>
      <c r="F3" s="80" t="s">
        <v>30</v>
      </c>
      <c r="G3" s="91">
        <v>45152</v>
      </c>
      <c r="H3" s="80">
        <f t="shared" ref="H3:H21" si="0">DAYS360(G3,B3)</f>
        <v>7</v>
      </c>
      <c r="I3" s="80" t="s">
        <v>26</v>
      </c>
      <c r="J3" s="80">
        <v>1</v>
      </c>
      <c r="K3" s="80" t="s">
        <v>17</v>
      </c>
      <c r="L3" s="76" t="s">
        <v>41</v>
      </c>
      <c r="M3" s="80"/>
      <c r="N3" s="80"/>
      <c r="O3" s="80" t="s">
        <v>52</v>
      </c>
      <c r="P3" s="80"/>
      <c r="Q3" s="80" t="s">
        <v>165</v>
      </c>
      <c r="R3" s="80" t="s">
        <v>19</v>
      </c>
      <c r="S3" s="19"/>
    </row>
    <row r="4" spans="1:19" ht="15.75" x14ac:dyDescent="0.25">
      <c r="A4" s="80">
        <v>3</v>
      </c>
      <c r="B4" s="127">
        <v>45159</v>
      </c>
      <c r="C4" s="80" t="s">
        <v>163</v>
      </c>
      <c r="D4" s="80" t="s">
        <v>164</v>
      </c>
      <c r="E4" s="80">
        <v>85</v>
      </c>
      <c r="F4" s="80" t="s">
        <v>30</v>
      </c>
      <c r="G4" s="91">
        <v>45152</v>
      </c>
      <c r="H4" s="80">
        <f t="shared" si="0"/>
        <v>7</v>
      </c>
      <c r="I4" s="80" t="s">
        <v>26</v>
      </c>
      <c r="J4" s="80">
        <v>1</v>
      </c>
      <c r="K4" s="80" t="s">
        <v>17</v>
      </c>
      <c r="L4" s="76" t="s">
        <v>41</v>
      </c>
      <c r="M4" s="80"/>
      <c r="N4" s="80"/>
      <c r="O4" s="80" t="s">
        <v>52</v>
      </c>
      <c r="P4" s="80"/>
      <c r="Q4" s="80" t="s">
        <v>165</v>
      </c>
      <c r="R4" s="80" t="s">
        <v>19</v>
      </c>
      <c r="S4" s="19"/>
    </row>
    <row r="5" spans="1:19" ht="15.75" x14ac:dyDescent="0.25">
      <c r="A5" s="80">
        <v>4</v>
      </c>
      <c r="B5" s="127">
        <v>45159</v>
      </c>
      <c r="C5" s="80" t="s">
        <v>113</v>
      </c>
      <c r="D5" s="80" t="s">
        <v>115</v>
      </c>
      <c r="E5" s="80">
        <v>60</v>
      </c>
      <c r="F5" s="80" t="s">
        <v>30</v>
      </c>
      <c r="G5" s="91">
        <v>45141</v>
      </c>
      <c r="H5" s="80">
        <f t="shared" si="0"/>
        <v>18</v>
      </c>
      <c r="I5" s="80" t="s">
        <v>26</v>
      </c>
      <c r="J5" s="80">
        <v>1</v>
      </c>
      <c r="K5" s="80" t="s">
        <v>17</v>
      </c>
      <c r="L5" s="76" t="s">
        <v>41</v>
      </c>
      <c r="M5" s="80" t="s">
        <v>52</v>
      </c>
      <c r="N5" s="80"/>
      <c r="O5" s="80"/>
      <c r="P5" s="80"/>
      <c r="Q5" s="80" t="s">
        <v>116</v>
      </c>
      <c r="R5" s="76" t="s">
        <v>19</v>
      </c>
      <c r="S5" s="19"/>
    </row>
    <row r="6" spans="1:19" ht="15.75" x14ac:dyDescent="0.25">
      <c r="A6" s="80">
        <v>5</v>
      </c>
      <c r="B6" s="127">
        <v>45159</v>
      </c>
      <c r="C6" s="80" t="s">
        <v>152</v>
      </c>
      <c r="D6" s="80" t="s">
        <v>153</v>
      </c>
      <c r="E6" s="80">
        <v>60</v>
      </c>
      <c r="F6" s="80" t="s">
        <v>30</v>
      </c>
      <c r="G6" s="91">
        <v>45147</v>
      </c>
      <c r="H6" s="80">
        <f t="shared" si="0"/>
        <v>12</v>
      </c>
      <c r="I6" s="80" t="s">
        <v>22</v>
      </c>
      <c r="J6" s="80">
        <v>1</v>
      </c>
      <c r="K6" s="80" t="s">
        <v>39</v>
      </c>
      <c r="L6" s="76" t="s">
        <v>41</v>
      </c>
      <c r="M6" s="80" t="s">
        <v>44</v>
      </c>
      <c r="N6" s="80"/>
      <c r="O6" s="80"/>
      <c r="P6" s="80"/>
      <c r="Q6" s="80" t="s">
        <v>76</v>
      </c>
      <c r="R6" s="80" t="s">
        <v>19</v>
      </c>
      <c r="S6" s="19"/>
    </row>
    <row r="7" spans="1:19" ht="15.75" x14ac:dyDescent="0.25">
      <c r="A7" s="80">
        <v>6</v>
      </c>
      <c r="B7" s="127">
        <v>45159</v>
      </c>
      <c r="C7" s="80" t="s">
        <v>160</v>
      </c>
      <c r="D7" s="80" t="s">
        <v>161</v>
      </c>
      <c r="E7" s="80">
        <v>58</v>
      </c>
      <c r="F7" s="80" t="s">
        <v>30</v>
      </c>
      <c r="G7" s="91">
        <v>45150</v>
      </c>
      <c r="H7" s="80">
        <f t="shared" si="0"/>
        <v>9</v>
      </c>
      <c r="I7" s="80" t="s">
        <v>26</v>
      </c>
      <c r="J7" s="80">
        <v>1</v>
      </c>
      <c r="K7" s="80" t="s">
        <v>17</v>
      </c>
      <c r="L7" s="76" t="s">
        <v>41</v>
      </c>
      <c r="M7" s="80"/>
      <c r="N7" s="80" t="s">
        <v>52</v>
      </c>
      <c r="O7" s="80"/>
      <c r="P7" s="80"/>
      <c r="Q7" s="80" t="s">
        <v>162</v>
      </c>
      <c r="R7" s="80" t="s">
        <v>19</v>
      </c>
      <c r="S7" s="19"/>
    </row>
    <row r="8" spans="1:19" ht="15.75" x14ac:dyDescent="0.25">
      <c r="A8" s="80">
        <v>7</v>
      </c>
      <c r="B8" s="127">
        <v>45159</v>
      </c>
      <c r="C8" s="80" t="s">
        <v>180</v>
      </c>
      <c r="D8" s="80" t="s">
        <v>182</v>
      </c>
      <c r="E8" s="80">
        <v>85</v>
      </c>
      <c r="F8" s="80" t="s">
        <v>30</v>
      </c>
      <c r="G8" s="91">
        <v>45156</v>
      </c>
      <c r="H8" s="80">
        <f t="shared" si="0"/>
        <v>3</v>
      </c>
      <c r="I8" s="80" t="s">
        <v>22</v>
      </c>
      <c r="J8" s="80">
        <v>1</v>
      </c>
      <c r="K8" s="80" t="s">
        <v>39</v>
      </c>
      <c r="L8" s="76" t="s">
        <v>41</v>
      </c>
      <c r="M8" s="80"/>
      <c r="N8" s="80"/>
      <c r="O8" s="80" t="s">
        <v>25</v>
      </c>
      <c r="P8" s="80"/>
      <c r="Q8" s="80" t="s">
        <v>189</v>
      </c>
      <c r="R8" s="80" t="s">
        <v>19</v>
      </c>
      <c r="S8" s="19"/>
    </row>
    <row r="9" spans="1:19" ht="15.75" x14ac:dyDescent="0.25">
      <c r="A9" s="80">
        <v>8</v>
      </c>
      <c r="B9" s="127">
        <v>45159</v>
      </c>
      <c r="C9" s="80" t="s">
        <v>146</v>
      </c>
      <c r="D9" s="80" t="s">
        <v>147</v>
      </c>
      <c r="E9" s="80">
        <v>88</v>
      </c>
      <c r="F9" s="80" t="s">
        <v>30</v>
      </c>
      <c r="G9" s="91">
        <v>45147</v>
      </c>
      <c r="H9" s="80">
        <f t="shared" si="0"/>
        <v>12</v>
      </c>
      <c r="I9" s="80" t="s">
        <v>26</v>
      </c>
      <c r="J9" s="80">
        <v>1</v>
      </c>
      <c r="K9" s="80" t="s">
        <v>17</v>
      </c>
      <c r="L9" s="76" t="s">
        <v>41</v>
      </c>
      <c r="M9" s="80"/>
      <c r="N9" s="80" t="s">
        <v>52</v>
      </c>
      <c r="O9" s="80"/>
      <c r="P9" s="80"/>
      <c r="Q9" s="80" t="s">
        <v>148</v>
      </c>
      <c r="R9" s="80" t="s">
        <v>19</v>
      </c>
      <c r="S9" s="19"/>
    </row>
    <row r="10" spans="1:19" ht="15.75" x14ac:dyDescent="0.25">
      <c r="A10" s="80">
        <v>9</v>
      </c>
      <c r="B10" s="127">
        <v>45159</v>
      </c>
      <c r="C10" s="80" t="s">
        <v>181</v>
      </c>
      <c r="D10" s="80" t="s">
        <v>183</v>
      </c>
      <c r="E10" s="80">
        <v>86</v>
      </c>
      <c r="F10" s="80" t="s">
        <v>30</v>
      </c>
      <c r="G10" s="91">
        <v>45156</v>
      </c>
      <c r="H10" s="80">
        <f t="shared" si="0"/>
        <v>3</v>
      </c>
      <c r="I10" s="80" t="s">
        <v>16</v>
      </c>
      <c r="J10" s="80">
        <v>1</v>
      </c>
      <c r="K10" s="80" t="s">
        <v>39</v>
      </c>
      <c r="L10" s="76" t="s">
        <v>41</v>
      </c>
      <c r="M10" s="80" t="s">
        <v>44</v>
      </c>
      <c r="N10" s="80"/>
      <c r="O10" s="80"/>
      <c r="P10" s="80"/>
      <c r="Q10" s="80" t="s">
        <v>119</v>
      </c>
      <c r="R10" s="80" t="s">
        <v>19</v>
      </c>
      <c r="S10" s="19"/>
    </row>
    <row r="11" spans="1:19" ht="15.75" x14ac:dyDescent="0.25">
      <c r="A11" s="80">
        <v>10</v>
      </c>
      <c r="B11" s="127">
        <v>45159</v>
      </c>
      <c r="C11" s="80" t="s">
        <v>186</v>
      </c>
      <c r="D11" s="80" t="s">
        <v>187</v>
      </c>
      <c r="E11" s="80">
        <v>52</v>
      </c>
      <c r="F11" s="80" t="s">
        <v>30</v>
      </c>
      <c r="G11" s="91">
        <v>45157</v>
      </c>
      <c r="H11" s="80">
        <f t="shared" si="0"/>
        <v>2</v>
      </c>
      <c r="I11" s="80" t="s">
        <v>26</v>
      </c>
      <c r="J11" s="80">
        <v>1</v>
      </c>
      <c r="K11" s="80" t="s">
        <v>17</v>
      </c>
      <c r="L11" s="76" t="s">
        <v>41</v>
      </c>
      <c r="M11" s="80"/>
      <c r="N11" s="80" t="s">
        <v>52</v>
      </c>
      <c r="O11" s="80"/>
      <c r="P11" s="80"/>
      <c r="Q11" s="80" t="s">
        <v>148</v>
      </c>
      <c r="R11" s="80" t="s">
        <v>19</v>
      </c>
      <c r="S11" s="19"/>
    </row>
    <row r="12" spans="1:19" ht="15.75" x14ac:dyDescent="0.25">
      <c r="A12" s="80">
        <v>11</v>
      </c>
      <c r="B12" s="127">
        <v>45159</v>
      </c>
      <c r="C12" s="16" t="s">
        <v>102</v>
      </c>
      <c r="D12" s="80" t="s">
        <v>106</v>
      </c>
      <c r="E12" s="80">
        <v>68</v>
      </c>
      <c r="F12" s="80" t="s">
        <v>30</v>
      </c>
      <c r="G12" s="91">
        <v>45140</v>
      </c>
      <c r="H12" s="80">
        <f t="shared" si="0"/>
        <v>19</v>
      </c>
      <c r="I12" s="80" t="s">
        <v>22</v>
      </c>
      <c r="J12" s="80">
        <v>1</v>
      </c>
      <c r="K12" s="80" t="s">
        <v>17</v>
      </c>
      <c r="L12" s="76" t="s">
        <v>41</v>
      </c>
      <c r="M12" s="80" t="s">
        <v>27</v>
      </c>
      <c r="N12" s="80"/>
      <c r="O12" s="80"/>
      <c r="P12" s="80"/>
      <c r="Q12" s="80" t="s">
        <v>107</v>
      </c>
      <c r="R12" s="76" t="s">
        <v>19</v>
      </c>
      <c r="S12" s="19"/>
    </row>
    <row r="13" spans="1:19" ht="15.75" x14ac:dyDescent="0.25">
      <c r="A13" s="80">
        <v>12</v>
      </c>
      <c r="B13" s="127">
        <v>45159</v>
      </c>
      <c r="C13" s="80" t="s">
        <v>117</v>
      </c>
      <c r="D13" s="80" t="s">
        <v>118</v>
      </c>
      <c r="E13" s="80">
        <v>78</v>
      </c>
      <c r="F13" s="80" t="s">
        <v>30</v>
      </c>
      <c r="G13" s="91">
        <v>45141</v>
      </c>
      <c r="H13" s="80">
        <f t="shared" ref="H13" si="1">DAYS360(G13,B13)</f>
        <v>18</v>
      </c>
      <c r="I13" s="80" t="s">
        <v>16</v>
      </c>
      <c r="J13" s="80">
        <v>1</v>
      </c>
      <c r="K13" s="80" t="s">
        <v>39</v>
      </c>
      <c r="L13" s="76" t="s">
        <v>41</v>
      </c>
      <c r="M13" s="80" t="s">
        <v>44</v>
      </c>
      <c r="N13" s="80"/>
      <c r="O13" s="80"/>
      <c r="P13" s="80"/>
      <c r="Q13" s="80" t="s">
        <v>119</v>
      </c>
      <c r="R13" s="76" t="s">
        <v>19</v>
      </c>
      <c r="S13" s="19"/>
    </row>
    <row r="14" spans="1:19" ht="15.75" x14ac:dyDescent="0.25">
      <c r="A14" s="80">
        <v>13</v>
      </c>
      <c r="B14" s="127">
        <v>45159</v>
      </c>
      <c r="C14" s="80" t="s">
        <v>117</v>
      </c>
      <c r="D14" s="80" t="s">
        <v>118</v>
      </c>
      <c r="E14" s="80">
        <v>78</v>
      </c>
      <c r="F14" s="80" t="s">
        <v>30</v>
      </c>
      <c r="G14" s="91">
        <v>45141</v>
      </c>
      <c r="H14" s="80">
        <f t="shared" si="0"/>
        <v>18</v>
      </c>
      <c r="I14" s="80" t="s">
        <v>16</v>
      </c>
      <c r="J14" s="80">
        <v>1</v>
      </c>
      <c r="K14" s="80" t="s">
        <v>39</v>
      </c>
      <c r="L14" s="76" t="s">
        <v>41</v>
      </c>
      <c r="M14" s="80"/>
      <c r="N14" s="80" t="s">
        <v>27</v>
      </c>
      <c r="O14" s="80"/>
      <c r="P14" s="80"/>
      <c r="Q14" s="80" t="s">
        <v>119</v>
      </c>
      <c r="R14" s="76" t="s">
        <v>19</v>
      </c>
      <c r="S14" s="19"/>
    </row>
    <row r="15" spans="1:19" ht="15.75" x14ac:dyDescent="0.25">
      <c r="A15" s="80">
        <v>14</v>
      </c>
      <c r="B15" s="127">
        <v>45159</v>
      </c>
      <c r="C15" s="80" t="s">
        <v>109</v>
      </c>
      <c r="D15" s="80" t="s">
        <v>110</v>
      </c>
      <c r="E15" s="80">
        <v>56</v>
      </c>
      <c r="F15" s="80" t="s">
        <v>30</v>
      </c>
      <c r="G15" s="91">
        <v>45140</v>
      </c>
      <c r="H15" s="80">
        <f t="shared" si="0"/>
        <v>19</v>
      </c>
      <c r="I15" s="80" t="s">
        <v>111</v>
      </c>
      <c r="J15" s="80">
        <v>1.5</v>
      </c>
      <c r="K15" s="80" t="s">
        <v>17</v>
      </c>
      <c r="L15" s="76" t="s">
        <v>41</v>
      </c>
      <c r="M15" s="80" t="s">
        <v>44</v>
      </c>
      <c r="N15" s="80"/>
      <c r="O15" s="80"/>
      <c r="P15" s="80"/>
      <c r="Q15" s="80" t="s">
        <v>112</v>
      </c>
      <c r="R15" s="76" t="s">
        <v>19</v>
      </c>
      <c r="S15" s="19"/>
    </row>
    <row r="16" spans="1:19" ht="15.75" x14ac:dyDescent="0.25">
      <c r="A16" s="80">
        <v>15</v>
      </c>
      <c r="B16" s="127">
        <v>45159</v>
      </c>
      <c r="C16" s="80" t="s">
        <v>149</v>
      </c>
      <c r="D16" s="80" t="s">
        <v>150</v>
      </c>
      <c r="E16" s="80">
        <v>73</v>
      </c>
      <c r="F16" s="80" t="s">
        <v>30</v>
      </c>
      <c r="G16" s="91">
        <v>45146</v>
      </c>
      <c r="H16" s="80">
        <f t="shared" ref="H16" si="2">DAYS360(G16,B16)</f>
        <v>13</v>
      </c>
      <c r="I16" s="80" t="s">
        <v>22</v>
      </c>
      <c r="J16" s="80">
        <v>1</v>
      </c>
      <c r="K16" s="80" t="s">
        <v>39</v>
      </c>
      <c r="L16" s="76" t="s">
        <v>41</v>
      </c>
      <c r="M16" s="80" t="s">
        <v>32</v>
      </c>
      <c r="N16" s="80"/>
      <c r="O16" s="80"/>
      <c r="P16" s="80"/>
      <c r="Q16" s="80" t="s">
        <v>151</v>
      </c>
      <c r="R16" s="80" t="s">
        <v>19</v>
      </c>
      <c r="S16" s="19"/>
    </row>
    <row r="17" spans="1:19" ht="15.75" x14ac:dyDescent="0.25">
      <c r="A17" s="80">
        <v>16</v>
      </c>
      <c r="B17" s="127">
        <v>45159</v>
      </c>
      <c r="C17" s="80" t="s">
        <v>149</v>
      </c>
      <c r="D17" s="80" t="s">
        <v>150</v>
      </c>
      <c r="E17" s="80">
        <v>73</v>
      </c>
      <c r="F17" s="80" t="s">
        <v>30</v>
      </c>
      <c r="G17" s="91">
        <v>45146</v>
      </c>
      <c r="H17" s="80">
        <f t="shared" si="0"/>
        <v>13</v>
      </c>
      <c r="I17" s="80" t="s">
        <v>22</v>
      </c>
      <c r="J17" s="80">
        <v>1</v>
      </c>
      <c r="K17" s="80" t="s">
        <v>39</v>
      </c>
      <c r="L17" s="76" t="s">
        <v>41</v>
      </c>
      <c r="M17" s="80"/>
      <c r="N17" s="80"/>
      <c r="O17" s="80" t="s">
        <v>25</v>
      </c>
      <c r="P17" s="80"/>
      <c r="Q17" s="80" t="s">
        <v>151</v>
      </c>
      <c r="R17" s="80" t="s">
        <v>19</v>
      </c>
      <c r="S17" s="19"/>
    </row>
    <row r="18" spans="1:19" ht="15.75" x14ac:dyDescent="0.25">
      <c r="A18" s="80">
        <v>17</v>
      </c>
      <c r="B18" s="127">
        <v>45159</v>
      </c>
      <c r="C18" s="80" t="s">
        <v>173</v>
      </c>
      <c r="D18" s="80" t="s">
        <v>174</v>
      </c>
      <c r="E18" s="80">
        <v>84</v>
      </c>
      <c r="F18" s="80" t="s">
        <v>30</v>
      </c>
      <c r="G18" s="91">
        <v>45154</v>
      </c>
      <c r="H18" s="80">
        <f t="shared" si="0"/>
        <v>5</v>
      </c>
      <c r="I18" s="80" t="s">
        <v>26</v>
      </c>
      <c r="J18" s="80">
        <v>1</v>
      </c>
      <c r="K18" s="80" t="s">
        <v>17</v>
      </c>
      <c r="L18" s="76" t="s">
        <v>41</v>
      </c>
      <c r="M18" s="80" t="s">
        <v>32</v>
      </c>
      <c r="N18" s="80"/>
      <c r="O18" s="80"/>
      <c r="P18" s="80"/>
      <c r="Q18" s="80" t="s">
        <v>175</v>
      </c>
      <c r="R18" s="80" t="s">
        <v>19</v>
      </c>
      <c r="S18" s="19"/>
    </row>
    <row r="19" spans="1:19" ht="15.75" x14ac:dyDescent="0.25">
      <c r="A19" s="80">
        <v>18</v>
      </c>
      <c r="B19" s="127">
        <v>45159</v>
      </c>
      <c r="C19" s="80" t="s">
        <v>98</v>
      </c>
      <c r="D19" s="80" t="s">
        <v>99</v>
      </c>
      <c r="E19" s="80">
        <v>85</v>
      </c>
      <c r="F19" s="80" t="s">
        <v>30</v>
      </c>
      <c r="G19" s="91">
        <v>45138</v>
      </c>
      <c r="H19" s="80">
        <f t="shared" si="0"/>
        <v>21</v>
      </c>
      <c r="I19" s="80" t="s">
        <v>16</v>
      </c>
      <c r="J19" s="80">
        <v>1</v>
      </c>
      <c r="K19" s="80" t="s">
        <v>17</v>
      </c>
      <c r="L19" s="76" t="s">
        <v>41</v>
      </c>
      <c r="M19" s="80" t="s">
        <v>44</v>
      </c>
      <c r="N19" s="80"/>
      <c r="O19" s="80"/>
      <c r="P19" s="80"/>
      <c r="Q19" s="80" t="s">
        <v>101</v>
      </c>
      <c r="R19" s="76" t="s">
        <v>19</v>
      </c>
      <c r="S19" s="19"/>
    </row>
    <row r="20" spans="1:19" ht="15.75" x14ac:dyDescent="0.25">
      <c r="A20" s="80">
        <v>19</v>
      </c>
      <c r="B20" s="127">
        <v>45159</v>
      </c>
      <c r="C20" s="80" t="s">
        <v>184</v>
      </c>
      <c r="D20" s="80" t="s">
        <v>185</v>
      </c>
      <c r="E20" s="80">
        <v>59</v>
      </c>
      <c r="F20" s="80" t="s">
        <v>30</v>
      </c>
      <c r="G20" s="91">
        <v>45157</v>
      </c>
      <c r="H20" s="80">
        <f t="shared" ref="H20" si="3">DAYS360(G20,B20)</f>
        <v>2</v>
      </c>
      <c r="I20" s="80" t="s">
        <v>26</v>
      </c>
      <c r="J20" s="80">
        <v>1</v>
      </c>
      <c r="K20" s="80" t="s">
        <v>188</v>
      </c>
      <c r="L20" s="76" t="s">
        <v>41</v>
      </c>
      <c r="M20" s="80" t="s">
        <v>27</v>
      </c>
      <c r="N20" s="80"/>
      <c r="O20" s="80"/>
      <c r="P20" s="80"/>
      <c r="Q20" s="80" t="s">
        <v>190</v>
      </c>
      <c r="R20" s="80" t="s">
        <v>19</v>
      </c>
      <c r="S20" s="19"/>
    </row>
    <row r="21" spans="1:19" ht="15.75" x14ac:dyDescent="0.25">
      <c r="A21" s="80">
        <v>20</v>
      </c>
      <c r="B21" s="127">
        <v>45159</v>
      </c>
      <c r="C21" s="80" t="s">
        <v>184</v>
      </c>
      <c r="D21" s="80" t="s">
        <v>185</v>
      </c>
      <c r="E21" s="80">
        <v>59</v>
      </c>
      <c r="F21" s="80" t="s">
        <v>30</v>
      </c>
      <c r="G21" s="91">
        <v>45157</v>
      </c>
      <c r="H21" s="80">
        <f t="shared" si="0"/>
        <v>2</v>
      </c>
      <c r="I21" s="80" t="s">
        <v>26</v>
      </c>
      <c r="J21" s="80">
        <v>1</v>
      </c>
      <c r="K21" s="80" t="s">
        <v>188</v>
      </c>
      <c r="L21" s="76" t="s">
        <v>41</v>
      </c>
      <c r="M21" s="80"/>
      <c r="N21" s="80" t="s">
        <v>52</v>
      </c>
      <c r="O21" s="80"/>
      <c r="P21" s="80"/>
      <c r="Q21" s="80" t="s">
        <v>190</v>
      </c>
      <c r="R21" s="80" t="s">
        <v>19</v>
      </c>
      <c r="S21" s="19"/>
    </row>
    <row r="22" spans="1:19" ht="15.75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x14ac:dyDescent="0.25">
      <c r="A23" s="2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x14ac:dyDescent="0.25">
      <c r="A24" s="2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5.75" x14ac:dyDescent="0.25">
      <c r="A25" s="2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000"/>
  <sheetViews>
    <sheetView zoomScale="78" zoomScaleNormal="78" workbookViewId="0">
      <selection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7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customHeight="1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001"/>
  <sheetViews>
    <sheetView zoomScale="60" zoomScaleNormal="60" workbookViewId="0">
      <selection sqref="A1:S22"/>
    </sheetView>
  </sheetViews>
  <sheetFormatPr baseColWidth="10" defaultColWidth="14.42578125" defaultRowHeight="15" customHeight="1" x14ac:dyDescent="0.25"/>
  <cols>
    <col min="1" max="1" width="5.5703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5.42578125" customWidth="1"/>
    <col min="8" max="8" width="12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28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001"/>
  <sheetViews>
    <sheetView zoomScale="60" zoomScaleNormal="60" workbookViewId="0">
      <selection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11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28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998"/>
  <sheetViews>
    <sheetView zoomScale="70" zoomScaleNormal="70" workbookViewId="0">
      <selection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38.42578125" customWidth="1"/>
    <col min="4" max="4" width="12.7109375" customWidth="1"/>
    <col min="5" max="5" width="6.5703125" customWidth="1"/>
    <col min="6" max="6" width="10.7109375" customWidth="1"/>
    <col min="7" max="7" width="21.28515625" customWidth="1"/>
    <col min="8" max="8" width="15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customHeight="1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1001"/>
  <sheetViews>
    <sheetView zoomScale="60" zoomScaleNormal="60" workbookViewId="0">
      <selection sqref="A1:S22"/>
    </sheetView>
  </sheetViews>
  <sheetFormatPr baseColWidth="10" defaultColWidth="14.42578125" defaultRowHeight="15" customHeight="1" x14ac:dyDescent="0.25"/>
  <cols>
    <col min="1" max="1" width="4.8554687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31" style="98" customWidth="1"/>
    <col min="8" max="8" width="30" customWidth="1"/>
    <col min="9" max="9" width="13.7109375" customWidth="1"/>
    <col min="10" max="10" width="8.7109375" style="107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28">
        <v>22</v>
      </c>
      <c r="B23" s="19"/>
      <c r="C23" s="19"/>
      <c r="D23" s="19"/>
      <c r="E23" s="19"/>
      <c r="F23" s="19"/>
      <c r="G23" s="20"/>
      <c r="H23" s="19"/>
      <c r="I23" s="19"/>
      <c r="J23" s="28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001"/>
  <sheetViews>
    <sheetView zoomScale="60" zoomScaleNormal="60" workbookViewId="0">
      <selection sqref="A1:S22"/>
    </sheetView>
  </sheetViews>
  <sheetFormatPr baseColWidth="10" defaultColWidth="14.42578125" defaultRowHeight="15" customHeight="1" x14ac:dyDescent="0.25"/>
  <cols>
    <col min="1" max="1" width="6.285156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8.42578125" style="98" customWidth="1"/>
    <col min="8" max="8" width="11.57031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28">
        <v>22</v>
      </c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1002"/>
  <sheetViews>
    <sheetView zoomScale="60" zoomScaleNormal="60" workbookViewId="0">
      <selection sqref="A1:S22"/>
    </sheetView>
  </sheetViews>
  <sheetFormatPr baseColWidth="10" defaultColWidth="14.42578125" defaultRowHeight="15" customHeight="1" x14ac:dyDescent="0.25"/>
  <cols>
    <col min="1" max="1" width="6.285156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5.5703125" style="98" customWidth="1"/>
    <col min="8" max="8" width="20.85546875" style="98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>
      <c r="A23" s="28">
        <v>22</v>
      </c>
      <c r="B23" s="19"/>
      <c r="C23" s="19"/>
      <c r="D23" s="19"/>
      <c r="E23" s="19"/>
      <c r="F23" s="19"/>
      <c r="G23" s="20"/>
      <c r="H23" s="20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ht="15.75" customHeight="1" x14ac:dyDescent="0.25">
      <c r="A24" s="28">
        <v>23</v>
      </c>
      <c r="B24" s="19"/>
      <c r="C24" s="19"/>
      <c r="D24" s="19"/>
      <c r="E24" s="19"/>
      <c r="F24" s="19"/>
      <c r="G24" s="20"/>
      <c r="H24" s="20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1000"/>
  <sheetViews>
    <sheetView zoomScale="70" zoomScaleNormal="70" workbookViewId="0">
      <selection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9.140625" style="98" customWidth="1"/>
    <col min="8" max="8" width="14.28515625" customWidth="1"/>
    <col min="9" max="9" width="13.7109375" customWidth="1"/>
    <col min="10" max="10" width="8.7109375" style="98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7.710937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customHeight="1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1"/>
  <sheetViews>
    <sheetView zoomScale="70" zoomScaleNormal="70" workbookViewId="0">
      <selection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28" customWidth="1"/>
    <col min="8" max="8" width="22.8554687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6.42578125" customWidth="1"/>
    <col min="19" max="19" width="7" customWidth="1"/>
    <col min="20" max="20" width="22.140625" customWidth="1"/>
    <col min="21" max="26" width="10.7109375" customWidth="1"/>
  </cols>
  <sheetData>
    <row r="1" spans="1:20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  <c r="T1" s="25" t="s">
        <v>67</v>
      </c>
    </row>
    <row r="2" spans="1:20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  <c r="T2" s="19"/>
    </row>
    <row r="3" spans="1:20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  <c r="T3" s="19"/>
    </row>
    <row r="4" spans="1:20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  <c r="T4" s="19"/>
    </row>
    <row r="5" spans="1:20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  <c r="T5" s="19"/>
    </row>
    <row r="6" spans="1:20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  <c r="T6" s="19"/>
    </row>
    <row r="7" spans="1:20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  <c r="T7" s="19"/>
    </row>
    <row r="8" spans="1:20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  <c r="T8" s="19"/>
    </row>
    <row r="9" spans="1:20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  <c r="T9" s="19"/>
    </row>
    <row r="10" spans="1:20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  <c r="T10" s="19"/>
    </row>
    <row r="11" spans="1:20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5.75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5.75" customHeight="1" x14ac:dyDescent="0.25">
      <c r="A23" s="28">
        <v>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000"/>
  <sheetViews>
    <sheetView workbookViewId="0">
      <selection activeCell="S22" sqref="A1:S22"/>
    </sheetView>
  </sheetViews>
  <sheetFormatPr baseColWidth="10" defaultColWidth="14.42578125" defaultRowHeight="15" customHeight="1" x14ac:dyDescent="0.25"/>
  <cols>
    <col min="1" max="1" width="3.42578125" customWidth="1"/>
    <col min="2" max="2" width="12.5703125" customWidth="1"/>
    <col min="3" max="3" width="43.7109375" customWidth="1"/>
    <col min="4" max="4" width="12.7109375" customWidth="1"/>
    <col min="5" max="5" width="6.5703125" customWidth="1"/>
    <col min="6" max="6" width="10.7109375" customWidth="1"/>
    <col min="7" max="7" width="13" customWidth="1"/>
    <col min="8" max="8" width="7.140625" customWidth="1"/>
    <col min="9" max="9" width="13.7109375" customWidth="1"/>
    <col min="10" max="10" width="8.7109375" customWidth="1"/>
    <col min="11" max="11" width="13.140625" customWidth="1"/>
    <col min="12" max="12" width="4.85546875" customWidth="1"/>
    <col min="13" max="13" width="12.140625" customWidth="1"/>
    <col min="14" max="14" width="7.28515625" customWidth="1"/>
    <col min="15" max="15" width="8" customWidth="1"/>
    <col min="16" max="16" width="9.5703125" customWidth="1"/>
    <col min="17" max="17" width="76.28515625" customWidth="1"/>
    <col min="18" max="18" width="7" customWidth="1"/>
    <col min="19" max="19" width="22.140625" customWidth="1"/>
    <col min="20" max="25" width="10.7109375" customWidth="1"/>
  </cols>
  <sheetData>
    <row r="1" spans="1:19" ht="63" x14ac:dyDescent="0.25">
      <c r="A1" s="23"/>
      <c r="B1" s="24" t="s">
        <v>65</v>
      </c>
      <c r="C1" s="25" t="s">
        <v>0</v>
      </c>
      <c r="D1" s="25" t="s">
        <v>1</v>
      </c>
      <c r="E1" s="25" t="s">
        <v>2</v>
      </c>
      <c r="F1" s="25" t="s">
        <v>3</v>
      </c>
      <c r="G1" s="26" t="s">
        <v>4</v>
      </c>
      <c r="H1" s="27" t="s">
        <v>5</v>
      </c>
      <c r="I1" s="25" t="s">
        <v>6</v>
      </c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67</v>
      </c>
    </row>
    <row r="2" spans="1:19" ht="15.75" x14ac:dyDescent="0.25">
      <c r="A2" s="80"/>
      <c r="B2" s="80"/>
      <c r="C2" s="80"/>
      <c r="D2" s="80"/>
      <c r="E2" s="80"/>
      <c r="F2" s="80"/>
      <c r="G2" s="91"/>
      <c r="H2" s="80"/>
      <c r="I2" s="80"/>
      <c r="J2" s="80"/>
      <c r="K2" s="80"/>
      <c r="L2" s="76"/>
      <c r="M2" s="80"/>
      <c r="N2" s="80"/>
      <c r="O2" s="80"/>
      <c r="P2" s="80"/>
      <c r="Q2" s="80"/>
      <c r="R2" s="11"/>
      <c r="S2" s="19"/>
    </row>
    <row r="3" spans="1:19" ht="15.75" x14ac:dyDescent="0.25">
      <c r="A3" s="28"/>
      <c r="B3" s="21"/>
      <c r="C3" s="22"/>
      <c r="D3" s="22"/>
      <c r="E3" s="29"/>
      <c r="F3" s="19"/>
      <c r="G3" s="21"/>
      <c r="H3" s="19"/>
      <c r="I3" s="19"/>
      <c r="J3" s="22"/>
      <c r="K3" s="22"/>
      <c r="L3" s="19"/>
      <c r="M3" s="22"/>
      <c r="N3" s="19"/>
      <c r="O3" s="19"/>
      <c r="P3" s="19"/>
      <c r="Q3" s="22"/>
      <c r="R3" s="11"/>
      <c r="S3" s="19"/>
    </row>
    <row r="4" spans="1:19" ht="15.75" x14ac:dyDescent="0.25">
      <c r="A4" s="28"/>
      <c r="B4" s="21"/>
      <c r="C4" s="22"/>
      <c r="D4" s="22"/>
      <c r="E4" s="29"/>
      <c r="F4" s="22"/>
      <c r="G4" s="30"/>
      <c r="H4" s="22"/>
      <c r="I4" s="22"/>
      <c r="J4" s="22"/>
      <c r="K4" s="22"/>
      <c r="L4" s="19"/>
      <c r="M4" s="22"/>
      <c r="N4" s="22"/>
      <c r="O4" s="22"/>
      <c r="P4" s="22"/>
      <c r="Q4" s="22"/>
      <c r="R4" s="11"/>
      <c r="S4" s="19"/>
    </row>
    <row r="5" spans="1:19" ht="15.75" x14ac:dyDescent="0.25">
      <c r="A5" s="28"/>
      <c r="B5" s="21"/>
      <c r="C5" s="22"/>
      <c r="D5" s="22"/>
      <c r="E5" s="29"/>
      <c r="F5" s="19"/>
      <c r="G5" s="21"/>
      <c r="H5" s="19"/>
      <c r="I5" s="19"/>
      <c r="J5" s="22"/>
      <c r="K5" s="22"/>
      <c r="L5" s="19"/>
      <c r="M5" s="19"/>
      <c r="N5" s="19"/>
      <c r="O5" s="19"/>
      <c r="P5" s="19"/>
      <c r="Q5" s="22"/>
      <c r="R5" s="11"/>
      <c r="S5" s="19"/>
    </row>
    <row r="6" spans="1:19" ht="15.75" x14ac:dyDescent="0.25">
      <c r="A6" s="28"/>
      <c r="B6" s="21"/>
      <c r="C6" s="19"/>
      <c r="D6" s="31"/>
      <c r="E6" s="20"/>
      <c r="F6" s="19"/>
      <c r="G6" s="21"/>
      <c r="H6" s="19"/>
      <c r="I6" s="19"/>
      <c r="J6" s="19"/>
      <c r="K6" s="19"/>
      <c r="L6" s="19"/>
      <c r="M6" s="19"/>
      <c r="N6" s="19"/>
      <c r="O6" s="19"/>
      <c r="P6" s="19"/>
      <c r="Q6" s="31"/>
      <c r="R6" s="11"/>
      <c r="S6" s="19"/>
    </row>
    <row r="7" spans="1:19" ht="15.75" x14ac:dyDescent="0.25">
      <c r="A7" s="28"/>
      <c r="B7" s="21"/>
      <c r="C7" s="19"/>
      <c r="D7" s="31"/>
      <c r="E7" s="20"/>
      <c r="F7" s="19"/>
      <c r="G7" s="21"/>
      <c r="H7" s="19"/>
      <c r="I7" s="19"/>
      <c r="J7" s="19"/>
      <c r="K7" s="19"/>
      <c r="L7" s="19"/>
      <c r="M7" s="19"/>
      <c r="N7" s="19"/>
      <c r="O7" s="19"/>
      <c r="P7" s="19"/>
      <c r="Q7" s="31"/>
      <c r="R7" s="11"/>
      <c r="S7" s="19"/>
    </row>
    <row r="8" spans="1:19" ht="15.75" x14ac:dyDescent="0.25">
      <c r="A8" s="28"/>
      <c r="B8" s="21"/>
      <c r="C8" s="19"/>
      <c r="D8" s="20"/>
      <c r="E8" s="20"/>
      <c r="F8" s="19"/>
      <c r="G8" s="32"/>
      <c r="H8" s="19"/>
      <c r="I8" s="19"/>
      <c r="J8" s="19"/>
      <c r="K8" s="22"/>
      <c r="L8" s="19"/>
      <c r="M8" s="19"/>
      <c r="N8" s="19"/>
      <c r="O8" s="19"/>
      <c r="P8" s="19"/>
      <c r="Q8" s="19"/>
      <c r="R8" s="11"/>
      <c r="S8" s="19"/>
    </row>
    <row r="9" spans="1:19" ht="15.75" x14ac:dyDescent="0.25">
      <c r="A9" s="28"/>
      <c r="B9" s="13"/>
      <c r="C9" s="11"/>
      <c r="D9" s="11"/>
      <c r="E9" s="12"/>
      <c r="F9" s="11"/>
      <c r="G9" s="13"/>
      <c r="H9" s="11"/>
      <c r="I9" s="11"/>
      <c r="J9" s="11"/>
      <c r="K9" s="22"/>
      <c r="L9" s="11"/>
      <c r="M9" s="11"/>
      <c r="N9" s="11"/>
      <c r="O9" s="11"/>
      <c r="P9" s="11"/>
      <c r="Q9" s="11"/>
      <c r="R9" s="11"/>
      <c r="S9" s="19"/>
    </row>
    <row r="10" spans="1:19" ht="15.75" x14ac:dyDescent="0.25">
      <c r="A10" s="28"/>
      <c r="B10" s="21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/>
      <c r="S10" s="19"/>
    </row>
    <row r="11" spans="1:19" ht="15.75" x14ac:dyDescent="0.25">
      <c r="A11" s="28"/>
      <c r="B11" s="21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15.75" x14ac:dyDescent="0.25">
      <c r="A12" s="2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15.75" x14ac:dyDescent="0.25">
      <c r="A13" s="2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15.75" x14ac:dyDescent="0.25">
      <c r="A14" s="2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75" x14ac:dyDescent="0.25">
      <c r="A15" s="2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75" x14ac:dyDescent="0.25">
      <c r="A16" s="2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.75" x14ac:dyDescent="0.25">
      <c r="A17" s="2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15.75" x14ac:dyDescent="0.25">
      <c r="A18" s="2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5.75" x14ac:dyDescent="0.25">
      <c r="A19" s="2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ht="15.75" x14ac:dyDescent="0.25">
      <c r="A20" s="2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ht="15.75" customHeight="1" x14ac:dyDescent="0.25">
      <c r="A21" s="2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75" customHeight="1" x14ac:dyDescent="0.25">
      <c r="A22" s="2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DATOS PCTES</vt:lpstr>
      <vt:lpstr>01-08</vt:lpstr>
      <vt:lpstr>02-08</vt:lpstr>
      <vt:lpstr>03-08</vt:lpstr>
      <vt:lpstr>04-08</vt:lpstr>
      <vt:lpstr>05-08</vt:lpstr>
      <vt:lpstr>06-08</vt:lpstr>
      <vt:lpstr>07-08</vt:lpstr>
      <vt:lpstr>08-08</vt:lpstr>
      <vt:lpstr>09-08</vt:lpstr>
      <vt:lpstr>10-08</vt:lpstr>
      <vt:lpstr>11-08</vt:lpstr>
      <vt:lpstr>12-08</vt:lpstr>
      <vt:lpstr>13-08</vt:lpstr>
      <vt:lpstr>14-08</vt:lpstr>
      <vt:lpstr>15-08</vt:lpstr>
      <vt:lpstr>16-08</vt:lpstr>
      <vt:lpstr>17-08</vt:lpstr>
      <vt:lpstr>18-08</vt:lpstr>
      <vt:lpstr>19-08</vt:lpstr>
      <vt:lpstr>20-08</vt:lpstr>
      <vt:lpstr>21-08</vt:lpstr>
      <vt:lpstr>22-08</vt:lpstr>
      <vt:lpstr>23-08</vt:lpstr>
      <vt:lpstr>24-08</vt:lpstr>
      <vt:lpstr>25-08</vt:lpstr>
      <vt:lpstr>26-08</vt:lpstr>
      <vt:lpstr>27-08</vt:lpstr>
      <vt:lpstr>28-08</vt:lpstr>
      <vt:lpstr>29-08</vt:lpstr>
      <vt:lpstr>30-08</vt:lpstr>
      <vt:lpstr>31-08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</dc:creator>
  <cp:lastModifiedBy>Anastasia Davison A. (HSC)</cp:lastModifiedBy>
  <dcterms:created xsi:type="dcterms:W3CDTF">2023-06-21T20:28:27Z</dcterms:created>
  <dcterms:modified xsi:type="dcterms:W3CDTF">2023-08-18T19:38:00Z</dcterms:modified>
</cp:coreProperties>
</file>