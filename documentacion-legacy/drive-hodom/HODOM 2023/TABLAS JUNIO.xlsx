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9071370-9\Downloads\"/>
    </mc:Choice>
  </mc:AlternateContent>
  <xr:revisionPtr revIDLastSave="0" documentId="13_ncr:1_{F4051F7D-23ED-40C6-B767-CA093EE04512}" xr6:coauthVersionLast="47" xr6:coauthVersionMax="47" xr10:uidLastSave="{00000000-0000-0000-0000-000000000000}"/>
  <bookViews>
    <workbookView xWindow="-195" yWindow="255" windowWidth="14010" windowHeight="12600" activeTab="1" xr2:uid="{A3BCA156-499C-4B88-AADC-60944B38E5EC}"/>
  </bookViews>
  <sheets>
    <sheet name="Hoja1" sheetId="1" r:id="rId1"/>
    <sheet name="tablas JULIO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8" i="2" l="1"/>
  <c r="C61" i="2"/>
  <c r="C103" i="2"/>
  <c r="C34" i="2"/>
  <c r="C113" i="2"/>
  <c r="C93" i="2"/>
  <c r="C41" i="2"/>
  <c r="C53" i="2"/>
  <c r="C28" i="2"/>
</calcChain>
</file>

<file path=xl/sharedStrings.xml><?xml version="1.0" encoding="utf-8"?>
<sst xmlns="http://schemas.openxmlformats.org/spreadsheetml/2006/main" count="458" uniqueCount="132">
  <si>
    <t>CATEGORIZACION</t>
  </si>
  <si>
    <t>MEDICINA</t>
  </si>
  <si>
    <t>A1</t>
  </si>
  <si>
    <t>A2</t>
  </si>
  <si>
    <t>B1</t>
  </si>
  <si>
    <t>B2</t>
  </si>
  <si>
    <t>B3</t>
  </si>
  <si>
    <t>C1</t>
  </si>
  <si>
    <t>C2</t>
  </si>
  <si>
    <t>C3</t>
  </si>
  <si>
    <t>D1</t>
  </si>
  <si>
    <t>D2</t>
  </si>
  <si>
    <t>D3</t>
  </si>
  <si>
    <t>Total general</t>
  </si>
  <si>
    <t>UTI</t>
  </si>
  <si>
    <t>UCI</t>
  </si>
  <si>
    <t>TOTAL</t>
  </si>
  <si>
    <t>TMT</t>
  </si>
  <si>
    <t>PEDIATRIA</t>
  </si>
  <si>
    <t>Obstetricia</t>
  </si>
  <si>
    <t>MAYO</t>
  </si>
  <si>
    <t>%</t>
  </si>
  <si>
    <t>ABRIL</t>
  </si>
  <si>
    <t>A3</t>
  </si>
  <si>
    <t>FEBRERO</t>
  </si>
  <si>
    <t>% Total</t>
  </si>
  <si>
    <t>R1 R2</t>
  </si>
  <si>
    <t>R1 R2 R3</t>
  </si>
  <si>
    <t>TRASLADOS</t>
  </si>
  <si>
    <t>Traslado a H. las Higueras</t>
  </si>
  <si>
    <t>SERVICIO</t>
  </si>
  <si>
    <t>HODOM</t>
  </si>
  <si>
    <t>Traslados a diálisis</t>
  </si>
  <si>
    <t>Altas a domicilio</t>
  </si>
  <si>
    <t>Traslados a IMARED</t>
  </si>
  <si>
    <t>CX</t>
  </si>
  <si>
    <t>Traslados a H.C.H.M</t>
  </si>
  <si>
    <t>UE</t>
  </si>
  <si>
    <t>Traslados a H.G.G.B (I. MCP)</t>
  </si>
  <si>
    <t>CMI</t>
  </si>
  <si>
    <t>Rescates (diálisis, CMA)</t>
  </si>
  <si>
    <t>R3</t>
  </si>
  <si>
    <t>PRESTACIONES</t>
  </si>
  <si>
    <t>CANTIDAD</t>
  </si>
  <si>
    <t>KNT R</t>
  </si>
  <si>
    <t>KNT M</t>
  </si>
  <si>
    <t>TTO EV</t>
  </si>
  <si>
    <t>CURACIONES</t>
  </si>
  <si>
    <t>EVAL MEDICA</t>
  </si>
  <si>
    <t>EXAMENES</t>
  </si>
  <si>
    <t>SEXO</t>
  </si>
  <si>
    <t>RANGO ETARIO</t>
  </si>
  <si>
    <t>18-25</t>
  </si>
  <si>
    <t>96 Y +</t>
  </si>
  <si>
    <t>SERVICIOS CLÍNICOS</t>
  </si>
  <si>
    <t>CIRUGÍA</t>
  </si>
  <si>
    <t>TRAUMATOLOGÍA</t>
  </si>
  <si>
    <t>OTROS CENTROS</t>
  </si>
  <si>
    <t>PROFESIONALES</t>
  </si>
  <si>
    <t>MÉDICO</t>
  </si>
  <si>
    <t>ENFERMERA</t>
  </si>
  <si>
    <t>KINESIÓLOGO</t>
  </si>
  <si>
    <t>FONOAUDIÓLOGO</t>
  </si>
  <si>
    <t>T. SOCIAL</t>
  </si>
  <si>
    <t>TENS</t>
  </si>
  <si>
    <t>COMUNA</t>
  </si>
  <si>
    <t>SAN CARLOS</t>
  </si>
  <si>
    <t>SAN NICOLÁS</t>
  </si>
  <si>
    <t>ÑIQUÉN</t>
  </si>
  <si>
    <t>OTRA</t>
  </si>
  <si>
    <t>TRATAMIENTO EV</t>
  </si>
  <si>
    <t>TRATAMIENTO SC</t>
  </si>
  <si>
    <t>TRATAMIENTO IM</t>
  </si>
  <si>
    <t>TOMA DE MUESTRAS</t>
  </si>
  <si>
    <t>MANEJO DE OSTOMIAS</t>
  </si>
  <si>
    <t>INSTALACIÓN ELEMENTOS INVASIVOS</t>
  </si>
  <si>
    <t>CSV</t>
  </si>
  <si>
    <t>EGRESOS</t>
  </si>
  <si>
    <t>ALTA MÉDICA</t>
  </si>
  <si>
    <t>ALTA VOLUNTARIA</t>
  </si>
  <si>
    <t>REHOSPITALIZACIÓN</t>
  </si>
  <si>
    <t xml:space="preserve">EVALUACIÓN UE </t>
  </si>
  <si>
    <t>FALLECIMIENTO</t>
  </si>
  <si>
    <t>KNT RESPIRATORIA</t>
  </si>
  <si>
    <t>KNT MOTORA</t>
  </si>
  <si>
    <t>TERAPIA FONO</t>
  </si>
  <si>
    <t>FEMENINO</t>
  </si>
  <si>
    <t>MASCULINO</t>
  </si>
  <si>
    <t>TOTAL GENERAL</t>
  </si>
  <si>
    <t>26-30</t>
  </si>
  <si>
    <t>31-35</t>
  </si>
  <si>
    <t>36-40</t>
  </si>
  <si>
    <t>41-45</t>
  </si>
  <si>
    <t>46-50</t>
  </si>
  <si>
    <t>51-55</t>
  </si>
  <si>
    <t>56-60</t>
  </si>
  <si>
    <t>61-65</t>
  </si>
  <si>
    <t>66-70</t>
  </si>
  <si>
    <t>71-75</t>
  </si>
  <si>
    <t>76-80</t>
  </si>
  <si>
    <t>81-85</t>
  </si>
  <si>
    <t>86-90</t>
  </si>
  <si>
    <t>91-95</t>
  </si>
  <si>
    <t>DIAGNÓSTICOS</t>
  </si>
  <si>
    <t>RESPIRATORIOS</t>
  </si>
  <si>
    <t xml:space="preserve">LESIONES </t>
  </si>
  <si>
    <t>PIE DIABÉTICO</t>
  </si>
  <si>
    <t>FRACTURAS</t>
  </si>
  <si>
    <t xml:space="preserve">ACV </t>
  </si>
  <si>
    <t>CORONARIOS</t>
  </si>
  <si>
    <t>TTOS. COAGULACIÓN</t>
  </si>
  <si>
    <t>DIGESTIVOS</t>
  </si>
  <si>
    <t>TU - CA</t>
  </si>
  <si>
    <t>I. DE BARTHEL</t>
  </si>
  <si>
    <t>D. SEVERA</t>
  </si>
  <si>
    <t>D. TOTAL</t>
  </si>
  <si>
    <t>D. LEVE</t>
  </si>
  <si>
    <t>AUTOVALENTE</t>
  </si>
  <si>
    <t>NO APLICA</t>
  </si>
  <si>
    <t>URBANO</t>
  </si>
  <si>
    <t>RURAL</t>
  </si>
  <si>
    <t>SECTORIZACIÓN</t>
  </si>
  <si>
    <t>D. MODERADA</t>
  </si>
  <si>
    <t>TRASLADO A OTRO CENTRO</t>
  </si>
  <si>
    <t>CONSULTA EN UE</t>
  </si>
  <si>
    <t>OTROS</t>
  </si>
  <si>
    <t>URINARIOS</t>
  </si>
  <si>
    <t>NEUROLÓGICOS</t>
  </si>
  <si>
    <t>Suma</t>
  </si>
  <si>
    <t>Promedio</t>
  </si>
  <si>
    <t>Total</t>
  </si>
  <si>
    <t>Recuento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</si>
</sst>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9CC2E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/>
      <top style="medium">
        <color rgb="FFCCCCCC"/>
      </top>
      <bottom/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2" borderId="4" xfId="0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10" fontId="2" fillId="5" borderId="4" xfId="0" applyNumberFormat="1" applyFont="1" applyFill="1" applyBorder="1" applyAlignment="1">
      <alignment horizontal="center" vertical="center" wrapText="1"/>
    </xf>
    <xf numFmtId="10" fontId="3" fillId="5" borderId="4" xfId="0" applyNumberFormat="1" applyFont="1" applyFill="1" applyBorder="1" applyAlignment="1">
      <alignment horizontal="center" vertical="center" wrapText="1"/>
    </xf>
    <xf numFmtId="9" fontId="2" fillId="5" borderId="4" xfId="0" applyNumberFormat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wrapText="1"/>
    </xf>
    <xf numFmtId="0" fontId="2" fillId="7" borderId="4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vertical="center" wrapText="1"/>
    </xf>
    <xf numFmtId="0" fontId="1" fillId="7" borderId="4" xfId="0" applyFont="1" applyFill="1" applyBorder="1" applyAlignment="1">
      <alignment horizontal="center" wrapText="1"/>
    </xf>
    <xf numFmtId="0" fontId="1" fillId="5" borderId="4" xfId="0" applyFont="1" applyFill="1" applyBorder="1" applyAlignment="1">
      <alignment horizontal="center" vertical="center" wrapText="1"/>
    </xf>
    <xf numFmtId="10" fontId="2" fillId="7" borderId="4" xfId="0" applyNumberFormat="1" applyFont="1" applyFill="1" applyBorder="1" applyAlignment="1">
      <alignment horizontal="center" vertical="center" wrapText="1"/>
    </xf>
    <xf numFmtId="0" fontId="0" fillId="2" borderId="4" xfId="0" applyFill="1" applyBorder="1" applyAlignment="1">
      <alignment wrapText="1"/>
    </xf>
    <xf numFmtId="0" fontId="0" fillId="0" borderId="4" xfId="0" applyBorder="1" applyAlignment="1">
      <alignment wrapText="1"/>
    </xf>
    <xf numFmtId="0" fontId="0" fillId="6" borderId="4" xfId="0" applyFill="1" applyBorder="1" applyAlignment="1">
      <alignment vertical="center" wrapText="1"/>
    </xf>
    <xf numFmtId="0" fontId="0" fillId="0" borderId="4" xfId="0" applyBorder="1" applyAlignment="1">
      <alignment horizontal="right" vertical="center" wrapText="1"/>
    </xf>
    <xf numFmtId="10" fontId="1" fillId="0" borderId="1" xfId="0" applyNumberFormat="1" applyFont="1" applyBorder="1" applyAlignment="1">
      <alignment horizontal="right" wrapText="1"/>
    </xf>
    <xf numFmtId="0" fontId="0" fillId="7" borderId="4" xfId="0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0" fillId="3" borderId="4" xfId="0" applyFill="1" applyBorder="1" applyAlignment="1">
      <alignment horizontal="right" wrapText="1"/>
    </xf>
    <xf numFmtId="0" fontId="1" fillId="8" borderId="4" xfId="0" applyFont="1" applyFill="1" applyBorder="1" applyAlignment="1">
      <alignment vertical="center" wrapText="1"/>
    </xf>
    <xf numFmtId="0" fontId="1" fillId="8" borderId="4" xfId="0" applyFont="1" applyFill="1" applyBorder="1" applyAlignment="1">
      <alignment horizontal="right" vertical="center" wrapText="1"/>
    </xf>
    <xf numFmtId="0" fontId="1" fillId="7" borderId="4" xfId="0" applyFont="1" applyFill="1" applyBorder="1" applyAlignment="1">
      <alignment horizontal="right" wrapText="1"/>
    </xf>
    <xf numFmtId="0" fontId="0" fillId="4" borderId="4" xfId="0" applyFill="1" applyBorder="1" applyAlignment="1">
      <alignment wrapText="1"/>
    </xf>
    <xf numFmtId="0" fontId="4" fillId="7" borderId="4" xfId="0" applyFont="1" applyFill="1" applyBorder="1" applyAlignment="1">
      <alignment horizontal="right"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1" fillId="3" borderId="9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1" fillId="2" borderId="12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 wrapText="1"/>
    </xf>
    <xf numFmtId="0" fontId="1" fillId="4" borderId="16" xfId="0" applyFont="1" applyFill="1" applyBorder="1" applyAlignment="1">
      <alignment horizontal="center" vertical="center" wrapText="1"/>
    </xf>
    <xf numFmtId="0" fontId="1" fillId="4" borderId="17" xfId="0" applyFont="1" applyFill="1" applyBorder="1" applyAlignment="1">
      <alignment horizontal="center" vertical="center" wrapText="1"/>
    </xf>
    <xf numFmtId="0" fontId="0" fillId="0" borderId="18" xfId="0" applyBorder="1" applyAlignment="1">
      <alignment wrapText="1"/>
    </xf>
    <xf numFmtId="0" fontId="1" fillId="2" borderId="19" xfId="0" applyFont="1" applyFill="1" applyBorder="1" applyAlignment="1">
      <alignment horizontal="center" vertical="center" wrapText="1"/>
    </xf>
    <xf numFmtId="0" fontId="0" fillId="2" borderId="20" xfId="0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7" fontId="0" fillId="0" borderId="0" xfId="0" applyNumberFormat="1"/>
    <xf numFmtId="0" fontId="1" fillId="2" borderId="23" xfId="0" applyFont="1" applyFill="1" applyBorder="1" applyAlignment="1">
      <alignment horizontal="center" vertical="center" wrapText="1"/>
    </xf>
    <xf numFmtId="0" fontId="1" fillId="3" borderId="24" xfId="0" applyFont="1" applyFill="1" applyBorder="1" applyAlignment="1">
      <alignment horizontal="center" vertical="center" wrapText="1"/>
    </xf>
    <xf numFmtId="0" fontId="1" fillId="4" borderId="24" xfId="0" applyFont="1" applyFill="1" applyBorder="1" applyAlignment="1">
      <alignment horizontal="center" vertical="center" wrapText="1"/>
    </xf>
    <xf numFmtId="0" fontId="0" fillId="0" borderId="25" xfId="0" applyBorder="1" applyAlignment="1">
      <alignment wrapText="1"/>
    </xf>
    <xf numFmtId="0" fontId="0" fillId="0" borderId="26" xfId="0" applyBorder="1" applyAlignment="1">
      <alignment wrapText="1"/>
    </xf>
    <xf numFmtId="0" fontId="1" fillId="2" borderId="24" xfId="0" applyFont="1" applyFill="1" applyBorder="1" applyAlignment="1">
      <alignment horizontal="center" vertical="center" wrapText="1"/>
    </xf>
    <xf numFmtId="0" fontId="0" fillId="0" borderId="27" xfId="0" applyBorder="1" applyAlignment="1">
      <alignment wrapText="1"/>
    </xf>
    <xf numFmtId="0" fontId="1" fillId="3" borderId="28" xfId="0" applyFont="1" applyFill="1" applyBorder="1" applyAlignment="1">
      <alignment horizontal="center" vertical="center" wrapText="1"/>
    </xf>
    <xf numFmtId="0" fontId="0" fillId="0" borderId="29" xfId="0" applyBorder="1" applyAlignment="1">
      <alignment wrapText="1"/>
    </xf>
    <xf numFmtId="0" fontId="1" fillId="9" borderId="12" xfId="0" applyFont="1" applyFill="1" applyBorder="1" applyAlignment="1">
      <alignment horizontal="center" vertical="center" wrapText="1"/>
    </xf>
    <xf numFmtId="0" fontId="0" fillId="9" borderId="13" xfId="0" applyFill="1" applyBorder="1" applyAlignment="1">
      <alignment horizontal="center" vertical="center" wrapText="1"/>
    </xf>
    <xf numFmtId="0" fontId="1" fillId="9" borderId="14" xfId="0" applyFont="1" applyFill="1" applyBorder="1" applyAlignment="1">
      <alignment horizontal="center" vertical="center" wrapText="1"/>
    </xf>
    <xf numFmtId="0" fontId="0" fillId="9" borderId="15" xfId="0" applyFill="1" applyBorder="1" applyAlignment="1">
      <alignment horizontal="center" vertical="center" wrapText="1"/>
    </xf>
    <xf numFmtId="0" fontId="1" fillId="9" borderId="16" xfId="0" applyFont="1" applyFill="1" applyBorder="1" applyAlignment="1">
      <alignment horizontal="center" vertical="center" wrapText="1"/>
    </xf>
    <xf numFmtId="0" fontId="1" fillId="9" borderId="17" xfId="0" applyFont="1" applyFill="1" applyBorder="1" applyAlignment="1">
      <alignment horizontal="center" vertical="center" wrapText="1"/>
    </xf>
    <xf numFmtId="0" fontId="0" fillId="0" borderId="30" xfId="0" applyBorder="1" applyAlignment="1">
      <alignment wrapText="1"/>
    </xf>
    <xf numFmtId="0" fontId="0" fillId="10" borderId="15" xfId="0" applyFill="1" applyBorder="1" applyAlignment="1">
      <alignment horizontal="center" vertical="center" wrapText="1"/>
    </xf>
    <xf numFmtId="0" fontId="0" fillId="10" borderId="22" xfId="0" applyFill="1" applyBorder="1" applyAlignment="1">
      <alignment horizontal="center" vertical="center" wrapText="1"/>
    </xf>
    <xf numFmtId="0" fontId="1" fillId="11" borderId="0" xfId="0" applyFont="1" applyFill="1" applyBorder="1" applyAlignment="1">
      <alignment horizontal="center" vertical="center" wrapText="1"/>
    </xf>
    <xf numFmtId="0" fontId="1" fillId="11" borderId="30" xfId="0" applyFont="1" applyFill="1" applyBorder="1" applyAlignment="1">
      <alignment horizontal="center" vertical="center" wrapText="1"/>
    </xf>
    <xf numFmtId="0" fontId="0" fillId="11" borderId="7" xfId="0" applyFill="1" applyBorder="1" applyAlignment="1">
      <alignment wrapText="1"/>
    </xf>
    <xf numFmtId="0" fontId="0" fillId="11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 JULIO'!$B$6:$B$7</c:f>
              <c:strCache>
                <c:ptCount val="2"/>
                <c:pt idx="0">
                  <c:v>FEMENINO</c:v>
                </c:pt>
                <c:pt idx="1">
                  <c:v>MASCULINO</c:v>
                </c:pt>
              </c:strCache>
            </c:strRef>
          </c:cat>
          <c:val>
            <c:numRef>
              <c:f>'tablas JULIO'!$C$6:$C$7</c:f>
              <c:numCache>
                <c:formatCode>General</c:formatCode>
                <c:ptCount val="2"/>
                <c:pt idx="0">
                  <c:v>20</c:v>
                </c:pt>
                <c:pt idx="1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99-4695-8548-5700B199CFB1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s-CL"/>
              <a:t>RANGO ETARIO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'tablas JULIO'!$B$12:$B$27</c:f>
              <c:strCache>
                <c:ptCount val="16"/>
                <c:pt idx="0">
                  <c:v>18-25</c:v>
                </c:pt>
                <c:pt idx="1">
                  <c:v>26-30</c:v>
                </c:pt>
                <c:pt idx="2">
                  <c:v>31-35</c:v>
                </c:pt>
                <c:pt idx="3">
                  <c:v>36-40</c:v>
                </c:pt>
                <c:pt idx="4">
                  <c:v>41-45</c:v>
                </c:pt>
                <c:pt idx="5">
                  <c:v>46-50</c:v>
                </c:pt>
                <c:pt idx="6">
                  <c:v>51-55</c:v>
                </c:pt>
                <c:pt idx="7">
                  <c:v>56-60</c:v>
                </c:pt>
                <c:pt idx="8">
                  <c:v>61-65</c:v>
                </c:pt>
                <c:pt idx="9">
                  <c:v>66-70</c:v>
                </c:pt>
                <c:pt idx="10">
                  <c:v>71-75</c:v>
                </c:pt>
                <c:pt idx="11">
                  <c:v>76-80</c:v>
                </c:pt>
                <c:pt idx="12">
                  <c:v>81-85</c:v>
                </c:pt>
                <c:pt idx="13">
                  <c:v>86-90</c:v>
                </c:pt>
                <c:pt idx="14">
                  <c:v>91-95</c:v>
                </c:pt>
                <c:pt idx="15">
                  <c:v>96 Y +</c:v>
                </c:pt>
              </c:strCache>
            </c:strRef>
          </c:cat>
          <c:val>
            <c:numRef>
              <c:f>'tablas JULIO'!$C$12:$C$27</c:f>
              <c:numCache>
                <c:formatCode>General</c:formatCode>
                <c:ptCount val="16"/>
                <c:pt idx="0">
                  <c:v>3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2</c:v>
                </c:pt>
                <c:pt idx="7">
                  <c:v>4</c:v>
                </c:pt>
                <c:pt idx="8">
                  <c:v>4</c:v>
                </c:pt>
                <c:pt idx="9">
                  <c:v>2</c:v>
                </c:pt>
                <c:pt idx="10">
                  <c:v>7</c:v>
                </c:pt>
                <c:pt idx="11">
                  <c:v>5</c:v>
                </c:pt>
                <c:pt idx="12">
                  <c:v>6</c:v>
                </c:pt>
                <c:pt idx="13">
                  <c:v>4</c:v>
                </c:pt>
                <c:pt idx="14">
                  <c:v>3</c:v>
                </c:pt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60-4365-B10C-175402A550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583543720"/>
        <c:axId val="583547320"/>
      </c:barChart>
      <c:catAx>
        <c:axId val="583543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83547320"/>
        <c:crosses val="autoZero"/>
        <c:auto val="1"/>
        <c:lblAlgn val="ctr"/>
        <c:lblOffset val="100"/>
        <c:noMultiLvlLbl val="0"/>
      </c:catAx>
      <c:valAx>
        <c:axId val="583547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83543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SECTORIZACIÓN GEOGRÁFICA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AC6-4FFB-A1E6-60B152C8FB1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BAC6-4FFB-A1E6-60B152C8FB15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L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BAC6-4FFB-A1E6-60B152C8FB15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L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BAC6-4FFB-A1E6-60B152C8FB15}"/>
                </c:ext>
              </c:extLst>
            </c:dLbl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 JULIO'!$B$32:$B$33</c:f>
              <c:strCache>
                <c:ptCount val="2"/>
                <c:pt idx="0">
                  <c:v>URBANO</c:v>
                </c:pt>
                <c:pt idx="1">
                  <c:v>RURAL</c:v>
                </c:pt>
              </c:strCache>
            </c:strRef>
          </c:cat>
          <c:val>
            <c:numRef>
              <c:f>'tablas JULIO'!$C$32:$C$33</c:f>
              <c:numCache>
                <c:formatCode>General</c:formatCode>
                <c:ptCount val="2"/>
                <c:pt idx="0">
                  <c:v>20</c:v>
                </c:pt>
                <c:pt idx="1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C6-4FFB-A1E6-60B152C8FB15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Domicilios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'tablas JULIO'!$B$37:$B$40</c:f>
              <c:strCache>
                <c:ptCount val="4"/>
                <c:pt idx="0">
                  <c:v>SAN CARLOS</c:v>
                </c:pt>
                <c:pt idx="1">
                  <c:v>SAN NICOLÁS</c:v>
                </c:pt>
                <c:pt idx="2">
                  <c:v>ÑIQUÉN</c:v>
                </c:pt>
                <c:pt idx="3">
                  <c:v>OTRA</c:v>
                </c:pt>
              </c:strCache>
            </c:strRef>
          </c:cat>
          <c:val>
            <c:numRef>
              <c:f>'tablas JULIO'!$C$37:$C$40</c:f>
              <c:numCache>
                <c:formatCode>General</c:formatCode>
                <c:ptCount val="4"/>
                <c:pt idx="0">
                  <c:v>38</c:v>
                </c:pt>
                <c:pt idx="1">
                  <c:v>2</c:v>
                </c:pt>
                <c:pt idx="2">
                  <c:v>3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87-4981-B0B0-FC4307710E6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41316864"/>
        <c:axId val="541313984"/>
      </c:lineChart>
      <c:catAx>
        <c:axId val="5413168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41313984"/>
        <c:crosses val="autoZero"/>
        <c:auto val="1"/>
        <c:lblAlgn val="ctr"/>
        <c:lblOffset val="100"/>
        <c:noMultiLvlLbl val="0"/>
      </c:catAx>
      <c:valAx>
        <c:axId val="541313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41316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s-CL"/>
              <a:t>Servicio</a:t>
            </a:r>
            <a:r>
              <a:rPr lang="es-CL" baseline="0"/>
              <a:t> de origen</a:t>
            </a:r>
            <a:endParaRPr lang="es-CL"/>
          </a:p>
        </c:rich>
      </c:tx>
      <c:layout>
        <c:manualLayout>
          <c:xMode val="edge"/>
          <c:yMode val="edge"/>
          <c:x val="0.32745822397200353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'tablas JULIO'!$B$44:$B$52</c:f>
              <c:strCache>
                <c:ptCount val="9"/>
                <c:pt idx="0">
                  <c:v>CMI</c:v>
                </c:pt>
                <c:pt idx="1">
                  <c:v>MEDICINA</c:v>
                </c:pt>
                <c:pt idx="2">
                  <c:v>CIRUGÍA</c:v>
                </c:pt>
                <c:pt idx="3">
                  <c:v>TRAUMATOLOGÍA</c:v>
                </c:pt>
                <c:pt idx="4">
                  <c:v>PEDIATRIA</c:v>
                </c:pt>
                <c:pt idx="5">
                  <c:v>UTI</c:v>
                </c:pt>
                <c:pt idx="6">
                  <c:v>UCI</c:v>
                </c:pt>
                <c:pt idx="7">
                  <c:v>UE</c:v>
                </c:pt>
                <c:pt idx="8">
                  <c:v>OTROS CENTROS</c:v>
                </c:pt>
              </c:strCache>
            </c:strRef>
          </c:cat>
          <c:val>
            <c:numRef>
              <c:f>'tablas JULIO'!$C$44:$C$52</c:f>
              <c:numCache>
                <c:formatCode>General</c:formatCode>
                <c:ptCount val="9"/>
                <c:pt idx="0">
                  <c:v>0</c:v>
                </c:pt>
                <c:pt idx="1">
                  <c:v>18</c:v>
                </c:pt>
                <c:pt idx="2">
                  <c:v>4</c:v>
                </c:pt>
                <c:pt idx="3">
                  <c:v>5</c:v>
                </c:pt>
                <c:pt idx="4">
                  <c:v>0</c:v>
                </c:pt>
                <c:pt idx="5">
                  <c:v>4</c:v>
                </c:pt>
                <c:pt idx="6">
                  <c:v>0</c:v>
                </c:pt>
                <c:pt idx="7">
                  <c:v>12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E1-424A-9361-600A2F0CDB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582035912"/>
        <c:axId val="582035192"/>
      </c:barChart>
      <c:catAx>
        <c:axId val="582035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82035192"/>
        <c:crosses val="autoZero"/>
        <c:auto val="1"/>
        <c:lblAlgn val="ctr"/>
        <c:lblOffset val="100"/>
        <c:noMultiLvlLbl val="0"/>
      </c:catAx>
      <c:valAx>
        <c:axId val="582035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82035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Atenciones</a:t>
            </a:r>
            <a:r>
              <a:rPr lang="es-CL" baseline="0"/>
              <a:t> por profesionales</a:t>
            </a:r>
            <a:endParaRPr lang="es-C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'tablas JULIO'!$B$57:$B$60</c:f>
              <c:strCache>
                <c:ptCount val="4"/>
                <c:pt idx="0">
                  <c:v>MÉDICO</c:v>
                </c:pt>
                <c:pt idx="1">
                  <c:v>ENFERMERA</c:v>
                </c:pt>
                <c:pt idx="2">
                  <c:v>KINESIÓLOGO</c:v>
                </c:pt>
                <c:pt idx="3">
                  <c:v>FONOAUDIÓLOGO</c:v>
                </c:pt>
              </c:strCache>
            </c:strRef>
          </c:cat>
          <c:val>
            <c:numRef>
              <c:f>'tablas JULIO'!$C$57:$C$60</c:f>
              <c:numCache>
                <c:formatCode>General</c:formatCode>
                <c:ptCount val="4"/>
                <c:pt idx="0">
                  <c:v>15</c:v>
                </c:pt>
                <c:pt idx="1">
                  <c:v>31</c:v>
                </c:pt>
                <c:pt idx="2">
                  <c:v>19</c:v>
                </c:pt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1E-421A-9181-F649048A3D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595059424"/>
        <c:axId val="595057984"/>
      </c:barChart>
      <c:catAx>
        <c:axId val="595059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95057984"/>
        <c:crosses val="autoZero"/>
        <c:auto val="1"/>
        <c:lblAlgn val="ctr"/>
        <c:lblOffset val="100"/>
        <c:noMultiLvlLbl val="0"/>
      </c:catAx>
      <c:valAx>
        <c:axId val="595057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95059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s-CL"/>
              <a:t>Diagnósticos de egreso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'tablas JULIO'!$B$66:$B$77</c:f>
              <c:strCache>
                <c:ptCount val="12"/>
                <c:pt idx="0">
                  <c:v>NEUROLÓGICOS</c:v>
                </c:pt>
                <c:pt idx="1">
                  <c:v>CORONARIOS</c:v>
                </c:pt>
                <c:pt idx="2">
                  <c:v>RESPIRATORIOS</c:v>
                </c:pt>
                <c:pt idx="3">
                  <c:v>DIGESTIVOS</c:v>
                </c:pt>
                <c:pt idx="4">
                  <c:v>TU - CA</c:v>
                </c:pt>
                <c:pt idx="5">
                  <c:v>TTOS. COAGULACIÓN</c:v>
                </c:pt>
                <c:pt idx="6">
                  <c:v>ACV </c:v>
                </c:pt>
                <c:pt idx="7">
                  <c:v>LESIONES </c:v>
                </c:pt>
                <c:pt idx="8">
                  <c:v>PIE DIABÉTICO</c:v>
                </c:pt>
                <c:pt idx="9">
                  <c:v>FRACTURAS</c:v>
                </c:pt>
                <c:pt idx="10">
                  <c:v>URINARIOS</c:v>
                </c:pt>
                <c:pt idx="11">
                  <c:v>OTROS</c:v>
                </c:pt>
              </c:strCache>
            </c:strRef>
          </c:cat>
          <c:val>
            <c:numRef>
              <c:f>'tablas JULIO'!$C$66:$C$77</c:f>
              <c:numCache>
                <c:formatCode>General</c:formatCode>
                <c:ptCount val="12"/>
                <c:pt idx="0">
                  <c:v>4</c:v>
                </c:pt>
                <c:pt idx="1">
                  <c:v>3</c:v>
                </c:pt>
                <c:pt idx="2">
                  <c:v>9</c:v>
                </c:pt>
                <c:pt idx="3">
                  <c:v>2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11</c:v>
                </c:pt>
                <c:pt idx="1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36-4E09-9EB8-F109190B2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541319384"/>
        <c:axId val="541317224"/>
      </c:barChart>
      <c:catAx>
        <c:axId val="541319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41317224"/>
        <c:crosses val="autoZero"/>
        <c:auto val="1"/>
        <c:lblAlgn val="ctr"/>
        <c:lblOffset val="100"/>
        <c:noMultiLvlLbl val="0"/>
      </c:catAx>
      <c:valAx>
        <c:axId val="541317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41319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s-CL"/>
              <a:t>Prestaciones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s-CL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'tablas JULIO'!$B$84:$B$92</c:f>
              <c:strCache>
                <c:ptCount val="9"/>
                <c:pt idx="0">
                  <c:v>TRATAMIENTO EV</c:v>
                </c:pt>
                <c:pt idx="1">
                  <c:v>TRATAMIENTO SC</c:v>
                </c:pt>
                <c:pt idx="2">
                  <c:v>TRATAMIENTO IM</c:v>
                </c:pt>
                <c:pt idx="3">
                  <c:v>CURACIONES</c:v>
                </c:pt>
                <c:pt idx="4">
                  <c:v>TOMA DE MUESTRAS</c:v>
                </c:pt>
                <c:pt idx="5">
                  <c:v>MANEJO DE OSTOMIAS</c:v>
                </c:pt>
                <c:pt idx="6">
                  <c:v>KNT RESPIRATORIA</c:v>
                </c:pt>
                <c:pt idx="7">
                  <c:v>KNT MOTORA</c:v>
                </c:pt>
                <c:pt idx="8">
                  <c:v>TERAPIA FONO</c:v>
                </c:pt>
              </c:strCache>
            </c:strRef>
          </c:cat>
          <c:val>
            <c:numRef>
              <c:f>'tablas JULIO'!$C$84:$C$92</c:f>
              <c:numCache>
                <c:formatCode>General</c:formatCode>
                <c:ptCount val="9"/>
                <c:pt idx="0">
                  <c:v>22</c:v>
                </c:pt>
                <c:pt idx="1">
                  <c:v>2</c:v>
                </c:pt>
                <c:pt idx="2">
                  <c:v>0</c:v>
                </c:pt>
                <c:pt idx="3">
                  <c:v>11</c:v>
                </c:pt>
                <c:pt idx="4">
                  <c:v>15</c:v>
                </c:pt>
                <c:pt idx="5">
                  <c:v>1</c:v>
                </c:pt>
                <c:pt idx="6">
                  <c:v>6</c:v>
                </c:pt>
                <c:pt idx="7">
                  <c:v>10</c:v>
                </c:pt>
                <c:pt idx="8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68-4D36-AFBA-99941731D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616984000"/>
        <c:axId val="616984720"/>
      </c:barChart>
      <c:catAx>
        <c:axId val="6169840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16984720"/>
        <c:crosses val="autoZero"/>
        <c:auto val="1"/>
        <c:lblAlgn val="ctr"/>
        <c:lblOffset val="100"/>
        <c:noMultiLvlLbl val="0"/>
      </c:catAx>
      <c:valAx>
        <c:axId val="616984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16984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Índice</a:t>
            </a:r>
            <a:r>
              <a:rPr lang="es-CL" baseline="0"/>
              <a:t> de Barthel en usuarios &gt; 65 años</a:t>
            </a:r>
            <a:endParaRPr lang="es-C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'tablas JULIO'!$B$97:$B$102</c:f>
              <c:strCache>
                <c:ptCount val="6"/>
                <c:pt idx="0">
                  <c:v>D. TOTAL</c:v>
                </c:pt>
                <c:pt idx="1">
                  <c:v>D. SEVERA</c:v>
                </c:pt>
                <c:pt idx="2">
                  <c:v>D. MODERADA</c:v>
                </c:pt>
                <c:pt idx="3">
                  <c:v>D. LEVE</c:v>
                </c:pt>
                <c:pt idx="4">
                  <c:v>AUTOVALENTE</c:v>
                </c:pt>
                <c:pt idx="5">
                  <c:v>NO APLICA</c:v>
                </c:pt>
              </c:strCache>
            </c:strRef>
          </c:cat>
          <c:val>
            <c:numRef>
              <c:f>'tablas JULIO'!$C$97:$C$102</c:f>
              <c:numCache>
                <c:formatCode>General</c:formatCode>
                <c:ptCount val="6"/>
                <c:pt idx="0">
                  <c:v>15</c:v>
                </c:pt>
                <c:pt idx="1">
                  <c:v>4</c:v>
                </c:pt>
                <c:pt idx="2">
                  <c:v>2</c:v>
                </c:pt>
                <c:pt idx="3">
                  <c:v>8</c:v>
                </c:pt>
                <c:pt idx="4">
                  <c:v>3</c:v>
                </c:pt>
                <c:pt idx="5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51-4E63-921E-B64C33AD12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Egresos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'tablas JULIO'!$B$107:$B$112</c:f>
              <c:strCache>
                <c:ptCount val="6"/>
                <c:pt idx="0">
                  <c:v>ALTA MÉDICA</c:v>
                </c:pt>
                <c:pt idx="1">
                  <c:v>ALTA VOLUNTARIA</c:v>
                </c:pt>
                <c:pt idx="2">
                  <c:v>CONSULTA EN UE</c:v>
                </c:pt>
                <c:pt idx="3">
                  <c:v>TRASLADO A OTRO CENTRO</c:v>
                </c:pt>
                <c:pt idx="4">
                  <c:v>REHOSPITALIZACIÓN</c:v>
                </c:pt>
                <c:pt idx="5">
                  <c:v>FALLECIMIENTO</c:v>
                </c:pt>
              </c:strCache>
            </c:strRef>
          </c:cat>
          <c:val>
            <c:numRef>
              <c:f>'tablas JULIO'!$C$107:$C$112</c:f>
              <c:numCache>
                <c:formatCode>General</c:formatCode>
                <c:ptCount val="6"/>
                <c:pt idx="0">
                  <c:v>27</c:v>
                </c:pt>
                <c:pt idx="1">
                  <c:v>1</c:v>
                </c:pt>
                <c:pt idx="2">
                  <c:v>5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2E-4E99-BD69-641C611A2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13330736"/>
        <c:axId val="613331096"/>
      </c:barChart>
      <c:catAx>
        <c:axId val="613330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13331096"/>
        <c:crosses val="autoZero"/>
        <c:auto val="1"/>
        <c:lblAlgn val="ctr"/>
        <c:lblOffset val="100"/>
        <c:noMultiLvlLbl val="0"/>
      </c:catAx>
      <c:valAx>
        <c:axId val="613331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13330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428625</xdr:colOff>
      <xdr:row>2</xdr:row>
      <xdr:rowOff>104775</xdr:rowOff>
    </xdr:from>
    <xdr:to>
      <xdr:col>10</xdr:col>
      <xdr:colOff>428625</xdr:colOff>
      <xdr:row>16</xdr:row>
      <xdr:rowOff>47625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E2FB33B-90EC-E2DA-A8D4-4E00ECCBEF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428625</xdr:colOff>
      <xdr:row>17</xdr:row>
      <xdr:rowOff>9525</xdr:rowOff>
    </xdr:from>
    <xdr:to>
      <xdr:col>10</xdr:col>
      <xdr:colOff>428625</xdr:colOff>
      <xdr:row>30</xdr:row>
      <xdr:rowOff>152400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CB097AD-E2BE-6AF8-92D2-A9814C4EA5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523875</xdr:colOff>
      <xdr:row>31</xdr:row>
      <xdr:rowOff>123825</xdr:rowOff>
    </xdr:from>
    <xdr:to>
      <xdr:col>10</xdr:col>
      <xdr:colOff>523875</xdr:colOff>
      <xdr:row>45</xdr:row>
      <xdr:rowOff>66675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1FEC9947-33A7-AACB-0B9E-D54C37B4DE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228600</xdr:colOff>
      <xdr:row>31</xdr:row>
      <xdr:rowOff>133350</xdr:rowOff>
    </xdr:from>
    <xdr:to>
      <xdr:col>17</xdr:col>
      <xdr:colOff>228600</xdr:colOff>
      <xdr:row>45</xdr:row>
      <xdr:rowOff>76200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48DDDA30-5C6E-7313-78E9-F0B330FC93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466725</xdr:colOff>
      <xdr:row>46</xdr:row>
      <xdr:rowOff>76200</xdr:rowOff>
    </xdr:from>
    <xdr:to>
      <xdr:col>10</xdr:col>
      <xdr:colOff>466725</xdr:colOff>
      <xdr:row>60</xdr:row>
      <xdr:rowOff>19050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DCD64C65-B20F-AA56-9BB5-640D517ADA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300037</xdr:colOff>
      <xdr:row>47</xdr:row>
      <xdr:rowOff>0</xdr:rowOff>
    </xdr:from>
    <xdr:to>
      <xdr:col>17</xdr:col>
      <xdr:colOff>300037</xdr:colOff>
      <xdr:row>60</xdr:row>
      <xdr:rowOff>142875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7D24EDD5-482F-8D2A-35CE-327FAAAC52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433387</xdr:colOff>
      <xdr:row>63</xdr:row>
      <xdr:rowOff>161925</xdr:rowOff>
    </xdr:from>
    <xdr:to>
      <xdr:col>10</xdr:col>
      <xdr:colOff>433387</xdr:colOff>
      <xdr:row>77</xdr:row>
      <xdr:rowOff>104775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3AE4182A-D4DE-B795-68C7-3CD4E08F70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423862</xdr:colOff>
      <xdr:row>79</xdr:row>
      <xdr:rowOff>76200</xdr:rowOff>
    </xdr:from>
    <xdr:to>
      <xdr:col>10</xdr:col>
      <xdr:colOff>423862</xdr:colOff>
      <xdr:row>93</xdr:row>
      <xdr:rowOff>19050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F9220C07-1124-EA11-EAD6-8BFF73A9BB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147637</xdr:colOff>
      <xdr:row>94</xdr:row>
      <xdr:rowOff>19050</xdr:rowOff>
    </xdr:from>
    <xdr:to>
      <xdr:col>10</xdr:col>
      <xdr:colOff>147637</xdr:colOff>
      <xdr:row>107</xdr:row>
      <xdr:rowOff>161925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CDA4FB5D-9265-C9D9-5843-A85467FF54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100012</xdr:colOff>
      <xdr:row>109</xdr:row>
      <xdr:rowOff>28575</xdr:rowOff>
    </xdr:from>
    <xdr:to>
      <xdr:col>10</xdr:col>
      <xdr:colOff>100012</xdr:colOff>
      <xdr:row>123</xdr:row>
      <xdr:rowOff>57150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A922F00F-F341-57F4-078B-4E1CD3A561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AD04A-A94C-49EC-949D-DA03AE7AE263}">
  <dimension ref="A1:W221"/>
  <sheetViews>
    <sheetView topLeftCell="A103" zoomScale="91" workbookViewId="0">
      <selection activeCell="G10" sqref="G10"/>
    </sheetView>
  </sheetViews>
  <sheetFormatPr baseColWidth="10" defaultRowHeight="15" x14ac:dyDescent="0.25"/>
  <cols>
    <col min="2" max="2" width="29.28515625" customWidth="1"/>
  </cols>
  <sheetData>
    <row r="1" spans="1:23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5.75" thickBo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5.75" thickBot="1" x14ac:dyDescent="0.3">
      <c r="A3" s="1"/>
      <c r="B3" s="2"/>
      <c r="C3" s="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5.75" thickBot="1" x14ac:dyDescent="0.3">
      <c r="A4" s="3"/>
      <c r="B4" s="5" t="s">
        <v>50</v>
      </c>
      <c r="C4" s="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15.75" thickBot="1" x14ac:dyDescent="0.3">
      <c r="A5" s="3"/>
      <c r="B5" s="6" t="s">
        <v>86</v>
      </c>
      <c r="C5" s="7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15.75" thickBot="1" x14ac:dyDescent="0.3">
      <c r="A6" s="3"/>
      <c r="B6" s="6" t="s">
        <v>87</v>
      </c>
      <c r="C6" s="7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15.75" thickBot="1" x14ac:dyDescent="0.3">
      <c r="A7" s="3"/>
      <c r="B7" s="9" t="s">
        <v>88</v>
      </c>
      <c r="C7" s="9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15.75" thickBo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15.75" thickBot="1" x14ac:dyDescent="0.3">
      <c r="A9" s="1"/>
      <c r="B9" s="2"/>
      <c r="C9" s="2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15.75" thickBot="1" x14ac:dyDescent="0.3">
      <c r="A10" s="3"/>
      <c r="B10" s="5" t="s">
        <v>51</v>
      </c>
      <c r="C10" s="4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15.75" thickBot="1" x14ac:dyDescent="0.3">
      <c r="A11" s="3"/>
      <c r="B11" s="6" t="s">
        <v>52</v>
      </c>
      <c r="C11" s="7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15.75" thickBot="1" x14ac:dyDescent="0.3">
      <c r="A12" s="3"/>
      <c r="B12" s="6" t="s">
        <v>89</v>
      </c>
      <c r="C12" s="7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15.75" thickBot="1" x14ac:dyDescent="0.3">
      <c r="A13" s="3"/>
      <c r="B13" s="6" t="s">
        <v>90</v>
      </c>
      <c r="C13" s="7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15.75" thickBot="1" x14ac:dyDescent="0.3">
      <c r="A14" s="3"/>
      <c r="B14" s="6" t="s">
        <v>91</v>
      </c>
      <c r="C14" s="7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15.75" thickBot="1" x14ac:dyDescent="0.3">
      <c r="A15" s="3"/>
      <c r="B15" s="6" t="s">
        <v>92</v>
      </c>
      <c r="C15" s="7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15.75" thickBot="1" x14ac:dyDescent="0.3">
      <c r="A16" s="3"/>
      <c r="B16" s="6" t="s">
        <v>93</v>
      </c>
      <c r="C16" s="7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15.75" thickBot="1" x14ac:dyDescent="0.3">
      <c r="A17" s="3"/>
      <c r="B17" s="6" t="s">
        <v>94</v>
      </c>
      <c r="C17" s="7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15.75" thickBot="1" x14ac:dyDescent="0.3">
      <c r="A18" s="3"/>
      <c r="B18" s="6" t="s">
        <v>95</v>
      </c>
      <c r="C18" s="7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15.75" thickBot="1" x14ac:dyDescent="0.3">
      <c r="A19" s="3"/>
      <c r="B19" s="6" t="s">
        <v>96</v>
      </c>
      <c r="C19" s="7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15.75" thickBot="1" x14ac:dyDescent="0.3">
      <c r="A20" s="3"/>
      <c r="B20" s="6" t="s">
        <v>97</v>
      </c>
      <c r="C20" s="7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15.75" thickBot="1" x14ac:dyDescent="0.3">
      <c r="A21" s="3"/>
      <c r="B21" s="6" t="s">
        <v>98</v>
      </c>
      <c r="C21" s="7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5.75" thickBot="1" x14ac:dyDescent="0.3">
      <c r="A22" s="3"/>
      <c r="B22" s="6" t="s">
        <v>99</v>
      </c>
      <c r="C22" s="7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5.75" thickBot="1" x14ac:dyDescent="0.3">
      <c r="A23" s="3"/>
      <c r="B23" s="6" t="s">
        <v>100</v>
      </c>
      <c r="C23" s="7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15.75" thickBot="1" x14ac:dyDescent="0.3">
      <c r="A24" s="3"/>
      <c r="B24" s="6" t="s">
        <v>101</v>
      </c>
      <c r="C24" s="7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5.75" thickBot="1" x14ac:dyDescent="0.3">
      <c r="A25" s="3"/>
      <c r="B25" s="6" t="s">
        <v>102</v>
      </c>
      <c r="C25" s="7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15.75" thickBot="1" x14ac:dyDescent="0.3">
      <c r="A26" s="3"/>
      <c r="B26" s="6" t="s">
        <v>53</v>
      </c>
      <c r="C26" s="7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15.75" thickBot="1" x14ac:dyDescent="0.3">
      <c r="A27" s="3"/>
      <c r="B27" s="9" t="s">
        <v>16</v>
      </c>
      <c r="C27" s="9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15.75" thickBo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15.75" thickBot="1" x14ac:dyDescent="0.3">
      <c r="A29" s="36"/>
      <c r="B29" s="43"/>
      <c r="C29" s="43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15.75" thickBot="1" x14ac:dyDescent="0.3">
      <c r="A30" s="36"/>
      <c r="B30" s="43"/>
      <c r="C30" s="43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5.75" thickBot="1" x14ac:dyDescent="0.3">
      <c r="A31" s="36"/>
      <c r="B31" s="41" t="s">
        <v>54</v>
      </c>
      <c r="C31" s="42"/>
      <c r="D31" s="37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5.75" thickBot="1" x14ac:dyDescent="0.3">
      <c r="A32" s="3"/>
      <c r="B32" s="39" t="s">
        <v>39</v>
      </c>
      <c r="C32" s="40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5.75" thickBot="1" x14ac:dyDescent="0.3">
      <c r="A33" s="3"/>
      <c r="B33" s="6" t="s">
        <v>1</v>
      </c>
      <c r="C33" s="7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15.75" thickBot="1" x14ac:dyDescent="0.3">
      <c r="A34" s="3"/>
      <c r="B34" s="6" t="s">
        <v>55</v>
      </c>
      <c r="C34" s="7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15.75" thickBot="1" x14ac:dyDescent="0.3">
      <c r="A35" s="3"/>
      <c r="B35" s="6" t="s">
        <v>56</v>
      </c>
      <c r="C35" s="7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15.75" thickBot="1" x14ac:dyDescent="0.3">
      <c r="A36" s="3"/>
      <c r="B36" s="6" t="s">
        <v>18</v>
      </c>
      <c r="C36" s="7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15.75" thickBot="1" x14ac:dyDescent="0.3">
      <c r="A37" s="3"/>
      <c r="B37" s="6" t="s">
        <v>14</v>
      </c>
      <c r="C37" s="7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5.75" thickBot="1" x14ac:dyDescent="0.3">
      <c r="A38" s="3"/>
      <c r="B38" s="6" t="s">
        <v>15</v>
      </c>
      <c r="C38" s="7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15.75" thickBot="1" x14ac:dyDescent="0.3">
      <c r="A39" s="3"/>
      <c r="B39" s="6" t="s">
        <v>37</v>
      </c>
      <c r="C39" s="7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15.75" thickBot="1" x14ac:dyDescent="0.3">
      <c r="A40" s="3"/>
      <c r="B40" s="6" t="s">
        <v>57</v>
      </c>
      <c r="C40" s="7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15.75" thickBot="1" x14ac:dyDescent="0.3">
      <c r="A41" s="3"/>
      <c r="B41" s="9" t="s">
        <v>16</v>
      </c>
      <c r="C41" s="9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15.75" thickBo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15.75" thickBot="1" x14ac:dyDescent="0.3">
      <c r="A43" s="1"/>
      <c r="B43" s="2"/>
      <c r="C43" s="2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15.75" thickBot="1" x14ac:dyDescent="0.3">
      <c r="A44" s="3"/>
      <c r="B44" s="5" t="s">
        <v>58</v>
      </c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15.75" thickBot="1" x14ac:dyDescent="0.3">
      <c r="A45" s="3"/>
      <c r="B45" s="6" t="s">
        <v>59</v>
      </c>
      <c r="C45" s="8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15.75" thickBot="1" x14ac:dyDescent="0.3">
      <c r="A46" s="3"/>
      <c r="B46" s="6" t="s">
        <v>60</v>
      </c>
      <c r="C46" s="8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5.75" thickBot="1" x14ac:dyDescent="0.3">
      <c r="A47" s="3"/>
      <c r="B47" s="6" t="s">
        <v>61</v>
      </c>
      <c r="C47" s="8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15.75" thickBot="1" x14ac:dyDescent="0.3">
      <c r="A48" s="3"/>
      <c r="B48" s="6" t="s">
        <v>62</v>
      </c>
      <c r="C48" s="8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5.75" thickBot="1" x14ac:dyDescent="0.3">
      <c r="A49" s="3"/>
      <c r="B49" s="6" t="s">
        <v>63</v>
      </c>
      <c r="C49" s="8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5.75" thickBot="1" x14ac:dyDescent="0.3">
      <c r="A50" s="3"/>
      <c r="B50" s="6" t="s">
        <v>64</v>
      </c>
      <c r="C50" s="8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5.75" thickBot="1" x14ac:dyDescent="0.3">
      <c r="A51" s="3"/>
      <c r="B51" s="9" t="s">
        <v>16</v>
      </c>
      <c r="C51" s="9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5.75" thickBo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5.75" thickBo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5.75" thickBot="1" x14ac:dyDescent="0.3">
      <c r="A54" s="1"/>
      <c r="B54" s="2"/>
      <c r="C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5.75" thickBot="1" x14ac:dyDescent="0.3">
      <c r="A55" s="3"/>
      <c r="B55" s="5" t="s">
        <v>65</v>
      </c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5.75" thickBot="1" x14ac:dyDescent="0.3">
      <c r="A56" s="3"/>
      <c r="B56" s="6" t="s">
        <v>66</v>
      </c>
      <c r="C56" s="7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5.75" thickBot="1" x14ac:dyDescent="0.3">
      <c r="A57" s="3"/>
      <c r="B57" s="6" t="s">
        <v>67</v>
      </c>
      <c r="C57" s="7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5.75" thickBot="1" x14ac:dyDescent="0.3">
      <c r="A58" s="3"/>
      <c r="B58" s="6" t="s">
        <v>68</v>
      </c>
      <c r="C58" s="7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5.75" thickBot="1" x14ac:dyDescent="0.3">
      <c r="A59" s="3"/>
      <c r="B59" s="6" t="s">
        <v>69</v>
      </c>
      <c r="C59" s="7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5.75" thickBot="1" x14ac:dyDescent="0.3">
      <c r="A60" s="3"/>
      <c r="B60" s="9" t="s">
        <v>16</v>
      </c>
      <c r="C60" s="9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15.75" thickBo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5.75" thickBo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5.75" thickBo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5.75" thickBot="1" x14ac:dyDescent="0.3">
      <c r="A64" s="1"/>
      <c r="B64" s="2"/>
      <c r="C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5.75" thickBot="1" x14ac:dyDescent="0.3">
      <c r="A65" s="3"/>
      <c r="B65" s="5" t="s">
        <v>42</v>
      </c>
      <c r="C65" s="4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5.75" thickBot="1" x14ac:dyDescent="0.3">
      <c r="A66" s="3"/>
      <c r="B66" s="6" t="s">
        <v>70</v>
      </c>
      <c r="C66" s="8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15.75" thickBot="1" x14ac:dyDescent="0.3">
      <c r="A67" s="3"/>
      <c r="B67" s="6" t="s">
        <v>71</v>
      </c>
      <c r="C67" s="8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15.75" thickBot="1" x14ac:dyDescent="0.3">
      <c r="A68" s="3"/>
      <c r="B68" s="6" t="s">
        <v>72</v>
      </c>
      <c r="C68" s="8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5.75" thickBot="1" x14ac:dyDescent="0.3">
      <c r="A69" s="3"/>
      <c r="B69" s="6" t="s">
        <v>47</v>
      </c>
      <c r="C69" s="8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15.75" thickBot="1" x14ac:dyDescent="0.3">
      <c r="A70" s="3"/>
      <c r="B70" s="6" t="s">
        <v>73</v>
      </c>
      <c r="C70" s="8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15.75" thickBot="1" x14ac:dyDescent="0.3">
      <c r="A71" s="3"/>
      <c r="B71" s="6" t="s">
        <v>74</v>
      </c>
      <c r="C71" s="8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30.75" thickBot="1" x14ac:dyDescent="0.3">
      <c r="A72" s="3"/>
      <c r="B72" s="6" t="s">
        <v>75</v>
      </c>
      <c r="C72" s="8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15.75" thickBot="1" x14ac:dyDescent="0.3">
      <c r="A73" s="3"/>
      <c r="B73" s="6" t="s">
        <v>76</v>
      </c>
      <c r="C73" s="8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15.75" thickBot="1" x14ac:dyDescent="0.3">
      <c r="A74" s="3"/>
      <c r="B74" s="6" t="s">
        <v>83</v>
      </c>
      <c r="C74" s="8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15.75" thickBot="1" x14ac:dyDescent="0.3">
      <c r="A75" s="3"/>
      <c r="B75" s="6" t="s">
        <v>84</v>
      </c>
      <c r="C75" s="8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15.75" thickBot="1" x14ac:dyDescent="0.3">
      <c r="A76" s="3"/>
      <c r="B76" s="6" t="s">
        <v>85</v>
      </c>
      <c r="C76" s="8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15.75" thickBot="1" x14ac:dyDescent="0.3">
      <c r="A77" s="3"/>
      <c r="B77" s="9" t="s">
        <v>16</v>
      </c>
      <c r="C77" s="9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15.75" thickBot="1" x14ac:dyDescent="0.3">
      <c r="A78" s="1"/>
      <c r="B78" s="38"/>
      <c r="C78" s="38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5.75" thickBot="1" x14ac:dyDescent="0.3">
      <c r="A79" s="36"/>
      <c r="B79" s="41" t="s">
        <v>77</v>
      </c>
      <c r="C79" s="42"/>
      <c r="D79" s="37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15.75" thickBot="1" x14ac:dyDescent="0.3">
      <c r="A80" s="3"/>
      <c r="B80" s="39" t="s">
        <v>78</v>
      </c>
      <c r="C80" s="40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15.75" thickBot="1" x14ac:dyDescent="0.3">
      <c r="A81" s="3"/>
      <c r="B81" s="6" t="s">
        <v>79</v>
      </c>
      <c r="C81" s="7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15.75" thickBot="1" x14ac:dyDescent="0.3">
      <c r="A82" s="3"/>
      <c r="B82" s="6" t="s">
        <v>81</v>
      </c>
      <c r="C82" s="7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15.75" thickBot="1" x14ac:dyDescent="0.3">
      <c r="A83" s="3"/>
      <c r="B83" s="6" t="s">
        <v>80</v>
      </c>
      <c r="C83" s="7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15.75" thickBot="1" x14ac:dyDescent="0.3">
      <c r="A84" s="3"/>
      <c r="B84" s="6" t="s">
        <v>82</v>
      </c>
      <c r="C84" s="7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15.75" thickBot="1" x14ac:dyDescent="0.3">
      <c r="A85" s="3"/>
      <c r="B85" s="9" t="s">
        <v>16</v>
      </c>
      <c r="C85" s="9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15.75" thickBo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15.75" thickBot="1" x14ac:dyDescent="0.3">
      <c r="A87" s="1"/>
      <c r="B87" s="2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15.75" thickBot="1" x14ac:dyDescent="0.3">
      <c r="A88" s="3"/>
      <c r="B88" s="5" t="s">
        <v>0</v>
      </c>
      <c r="C88" s="4" t="s">
        <v>18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15.75" thickBot="1" x14ac:dyDescent="0.3">
      <c r="A89" s="3"/>
      <c r="B89" s="6" t="s">
        <v>2</v>
      </c>
      <c r="C89" s="8">
        <v>0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15.75" thickBot="1" x14ac:dyDescent="0.3">
      <c r="A90" s="3"/>
      <c r="B90" s="6" t="s">
        <v>3</v>
      </c>
      <c r="C90" s="8">
        <v>0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15.75" thickBot="1" x14ac:dyDescent="0.3">
      <c r="A91" s="3"/>
      <c r="B91" s="6" t="s">
        <v>4</v>
      </c>
      <c r="C91" s="8">
        <v>18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15.75" thickBot="1" x14ac:dyDescent="0.3">
      <c r="A92" s="3"/>
      <c r="B92" s="6" t="s">
        <v>5</v>
      </c>
      <c r="C92" s="8">
        <v>4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15.75" thickBot="1" x14ac:dyDescent="0.3">
      <c r="A93" s="3"/>
      <c r="B93" s="6" t="s">
        <v>6</v>
      </c>
      <c r="C93" s="8">
        <v>1</v>
      </c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15.75" thickBot="1" x14ac:dyDescent="0.3">
      <c r="A94" s="3"/>
      <c r="B94" s="6" t="s">
        <v>7</v>
      </c>
      <c r="C94" s="8">
        <v>67</v>
      </c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15.75" thickBot="1" x14ac:dyDescent="0.3">
      <c r="A95" s="3"/>
      <c r="B95" s="6" t="s">
        <v>8</v>
      </c>
      <c r="C95" s="8">
        <v>29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15.75" thickBot="1" x14ac:dyDescent="0.3">
      <c r="A96" s="3"/>
      <c r="B96" s="6" t="s">
        <v>9</v>
      </c>
      <c r="C96" s="7">
        <v>11</v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15.75" thickBot="1" x14ac:dyDescent="0.3">
      <c r="A97" s="3"/>
      <c r="B97" s="6" t="s">
        <v>10</v>
      </c>
      <c r="C97" s="7">
        <v>10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15.75" thickBot="1" x14ac:dyDescent="0.3">
      <c r="A98" s="3"/>
      <c r="B98" s="6" t="s">
        <v>11</v>
      </c>
      <c r="C98" s="7">
        <v>6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15.75" thickBot="1" x14ac:dyDescent="0.3">
      <c r="A99" s="3"/>
      <c r="B99" s="6" t="s">
        <v>12</v>
      </c>
      <c r="C99" s="7">
        <v>7</v>
      </c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15.75" thickBot="1" x14ac:dyDescent="0.3">
      <c r="A100" s="3"/>
      <c r="B100" s="9" t="s">
        <v>16</v>
      </c>
      <c r="C100" s="9">
        <v>153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5.75" thickBo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15.75" thickBo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15.75" thickBo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15.75" thickBot="1" x14ac:dyDescent="0.3">
      <c r="A104" s="1"/>
      <c r="B104" s="2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15.75" thickBot="1" x14ac:dyDescent="0.3">
      <c r="A105" s="3"/>
      <c r="B105" s="5" t="s">
        <v>0</v>
      </c>
      <c r="C105" s="4" t="s">
        <v>19</v>
      </c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15.75" thickBot="1" x14ac:dyDescent="0.3">
      <c r="A106" s="3"/>
      <c r="B106" s="6" t="s">
        <v>4</v>
      </c>
      <c r="C106" s="7">
        <v>1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15.75" thickBot="1" x14ac:dyDescent="0.3">
      <c r="A107" s="3"/>
      <c r="B107" s="6" t="s">
        <v>5</v>
      </c>
      <c r="C107" s="7">
        <v>0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15.75" thickBot="1" x14ac:dyDescent="0.3">
      <c r="A108" s="3"/>
      <c r="B108" s="6" t="s">
        <v>6</v>
      </c>
      <c r="C108" s="7">
        <v>0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15.75" thickBot="1" x14ac:dyDescent="0.3">
      <c r="A109" s="3"/>
      <c r="B109" s="6" t="s">
        <v>7</v>
      </c>
      <c r="C109" s="7">
        <v>18</v>
      </c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15.75" thickBot="1" x14ac:dyDescent="0.3">
      <c r="A110" s="3"/>
      <c r="B110" s="6" t="s">
        <v>8</v>
      </c>
      <c r="C110" s="7">
        <v>79</v>
      </c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15.75" thickBot="1" x14ac:dyDescent="0.3">
      <c r="A111" s="3"/>
      <c r="B111" s="6" t="s">
        <v>9</v>
      </c>
      <c r="C111" s="7">
        <v>3</v>
      </c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15.75" thickBot="1" x14ac:dyDescent="0.3">
      <c r="A112" s="3"/>
      <c r="B112" s="6" t="s">
        <v>11</v>
      </c>
      <c r="C112" s="7">
        <v>0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15.75" thickBot="1" x14ac:dyDescent="0.3">
      <c r="A113" s="3"/>
      <c r="B113" s="9" t="s">
        <v>16</v>
      </c>
      <c r="C113" s="9">
        <v>101</v>
      </c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5.75" thickBo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5.75" thickBo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5.75" thickBo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5.75" thickBo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5.75" thickBo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15.75" thickBo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15.75" thickBo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5.75" thickBo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5.75" thickBot="1" x14ac:dyDescent="0.3">
      <c r="A122" s="1"/>
      <c r="B122" s="2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5.75" thickBot="1" x14ac:dyDescent="0.3">
      <c r="A123" s="3"/>
      <c r="B123" s="5" t="s">
        <v>0</v>
      </c>
      <c r="C123" s="5" t="s">
        <v>20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5.75" thickBot="1" x14ac:dyDescent="0.3">
      <c r="A124" s="3"/>
      <c r="B124" s="6" t="s">
        <v>2</v>
      </c>
      <c r="C124" s="7">
        <v>130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5.75" thickBot="1" x14ac:dyDescent="0.3">
      <c r="A125" s="3"/>
      <c r="B125" s="6" t="s">
        <v>3</v>
      </c>
      <c r="C125" s="7">
        <v>2</v>
      </c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5.75" thickBot="1" x14ac:dyDescent="0.3">
      <c r="A126" s="3"/>
      <c r="B126" s="6" t="s">
        <v>4</v>
      </c>
      <c r="C126" s="7">
        <v>454</v>
      </c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5.75" thickBot="1" x14ac:dyDescent="0.3">
      <c r="A127" s="3"/>
      <c r="B127" s="6" t="s">
        <v>5</v>
      </c>
      <c r="C127" s="7">
        <v>327</v>
      </c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5.75" thickBot="1" x14ac:dyDescent="0.3">
      <c r="A128" s="3"/>
      <c r="B128" s="6" t="s">
        <v>6</v>
      </c>
      <c r="C128" s="7">
        <v>67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5.75" thickBot="1" x14ac:dyDescent="0.3">
      <c r="A129" s="3"/>
      <c r="B129" s="6" t="s">
        <v>7</v>
      </c>
      <c r="C129" s="7">
        <v>507</v>
      </c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5.75" thickBot="1" x14ac:dyDescent="0.3">
      <c r="A130" s="3"/>
      <c r="B130" s="6" t="s">
        <v>8</v>
      </c>
      <c r="C130" s="7">
        <v>1128</v>
      </c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5.75" thickBot="1" x14ac:dyDescent="0.3">
      <c r="A131" s="3"/>
      <c r="B131" s="6" t="s">
        <v>9</v>
      </c>
      <c r="C131" s="8">
        <v>381</v>
      </c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5.75" thickBot="1" x14ac:dyDescent="0.3">
      <c r="A132" s="3"/>
      <c r="B132" s="6" t="s">
        <v>10</v>
      </c>
      <c r="C132" s="8">
        <v>10</v>
      </c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5.75" thickBot="1" x14ac:dyDescent="0.3">
      <c r="A133" s="3"/>
      <c r="B133" s="6" t="s">
        <v>11</v>
      </c>
      <c r="C133" s="8">
        <v>6</v>
      </c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5.75" thickBot="1" x14ac:dyDescent="0.3">
      <c r="A134" s="3"/>
      <c r="B134" s="6" t="s">
        <v>12</v>
      </c>
      <c r="C134" s="8">
        <v>16</v>
      </c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5.75" thickBot="1" x14ac:dyDescent="0.3">
      <c r="A135" s="3"/>
      <c r="B135" s="9" t="s">
        <v>13</v>
      </c>
      <c r="C135" s="9">
        <v>3028</v>
      </c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5.75" thickBo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5.75" thickBo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5.75" thickBo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15.75" thickBo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5.75" thickBo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5.75" thickBo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15.75" thickBo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5.75" thickBo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15.75" thickBot="1" x14ac:dyDescent="0.3">
      <c r="A144" s="1"/>
      <c r="B144" s="1"/>
      <c r="C144" s="2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26.25" thickBot="1" x14ac:dyDescent="0.3">
      <c r="A145" s="1"/>
      <c r="B145" s="3"/>
      <c r="C145" s="11" t="s">
        <v>0</v>
      </c>
      <c r="D145" s="11">
        <v>2023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5.75" thickBot="1" x14ac:dyDescent="0.3">
      <c r="A146" s="1"/>
      <c r="B146" s="3"/>
      <c r="C146" s="12" t="s">
        <v>2</v>
      </c>
      <c r="D146" s="13">
        <v>98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5.75" thickBot="1" x14ac:dyDescent="0.3">
      <c r="A147" s="1"/>
      <c r="B147" s="3"/>
      <c r="C147" s="12" t="s">
        <v>3</v>
      </c>
      <c r="D147" s="13">
        <v>490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15.75" thickBot="1" x14ac:dyDescent="0.3">
      <c r="A148" s="1"/>
      <c r="B148" s="3"/>
      <c r="C148" s="12" t="s">
        <v>4</v>
      </c>
      <c r="D148" s="13">
        <v>287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15.75" thickBot="1" x14ac:dyDescent="0.3">
      <c r="A149" s="1"/>
      <c r="B149" s="3"/>
      <c r="C149" s="12" t="s">
        <v>5</v>
      </c>
      <c r="D149" s="13">
        <v>82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15.75" thickBot="1" x14ac:dyDescent="0.3">
      <c r="A150" s="1"/>
      <c r="B150" s="3"/>
      <c r="C150" s="12" t="s">
        <v>6</v>
      </c>
      <c r="D150" s="13">
        <v>453</v>
      </c>
      <c r="E150" s="1"/>
      <c r="F150" s="2"/>
      <c r="G150" s="2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26.25" thickBot="1" x14ac:dyDescent="0.3">
      <c r="A151" s="1"/>
      <c r="B151" s="3"/>
      <c r="C151" s="12" t="s">
        <v>7</v>
      </c>
      <c r="D151" s="13">
        <v>1065</v>
      </c>
      <c r="E151" s="3"/>
      <c r="F151" s="11" t="s">
        <v>0</v>
      </c>
      <c r="G151" s="11">
        <v>2023</v>
      </c>
      <c r="H151" s="11" t="s">
        <v>21</v>
      </c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15.75" thickBot="1" x14ac:dyDescent="0.3">
      <c r="A152" s="1"/>
      <c r="B152" s="3"/>
      <c r="C152" s="12" t="s">
        <v>8</v>
      </c>
      <c r="D152" s="13">
        <v>383</v>
      </c>
      <c r="E152" s="3"/>
      <c r="F152" s="12" t="s">
        <v>2</v>
      </c>
      <c r="G152" s="13">
        <v>130</v>
      </c>
      <c r="H152" s="14">
        <v>4.2900000000000001E-2</v>
      </c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15.75" thickBot="1" x14ac:dyDescent="0.3">
      <c r="A153" s="1"/>
      <c r="B153" s="3"/>
      <c r="C153" s="12" t="s">
        <v>9</v>
      </c>
      <c r="D153" s="13">
        <v>15</v>
      </c>
      <c r="E153" s="3"/>
      <c r="F153" s="12" t="s">
        <v>3</v>
      </c>
      <c r="G153" s="13">
        <v>2</v>
      </c>
      <c r="H153" s="15">
        <v>6.9999999999999999E-4</v>
      </c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5.75" thickBot="1" x14ac:dyDescent="0.3">
      <c r="A154" s="1"/>
      <c r="B154" s="3"/>
      <c r="C154" s="12" t="s">
        <v>10</v>
      </c>
      <c r="D154" s="13">
        <v>10</v>
      </c>
      <c r="E154" s="3"/>
      <c r="F154" s="12" t="s">
        <v>4</v>
      </c>
      <c r="G154" s="13">
        <v>454</v>
      </c>
      <c r="H154" s="14">
        <v>0.14990000000000001</v>
      </c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5.75" thickBot="1" x14ac:dyDescent="0.3">
      <c r="A155" s="1"/>
      <c r="B155" s="3"/>
      <c r="C155" s="12" t="s">
        <v>11</v>
      </c>
      <c r="D155" s="13">
        <v>19</v>
      </c>
      <c r="E155" s="3"/>
      <c r="F155" s="12" t="s">
        <v>5</v>
      </c>
      <c r="G155" s="13">
        <v>327</v>
      </c>
      <c r="H155" s="14">
        <v>0.108</v>
      </c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15.75" thickBot="1" x14ac:dyDescent="0.3">
      <c r="A156" s="1"/>
      <c r="B156" s="3"/>
      <c r="C156" s="12" t="s">
        <v>12</v>
      </c>
      <c r="D156" s="13">
        <v>0</v>
      </c>
      <c r="E156" s="3"/>
      <c r="F156" s="12" t="s">
        <v>6</v>
      </c>
      <c r="G156" s="13">
        <v>67</v>
      </c>
      <c r="H156" s="15">
        <v>2.2100000000000002E-2</v>
      </c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26.25" thickBot="1" x14ac:dyDescent="0.3">
      <c r="A157" s="1"/>
      <c r="B157" s="3"/>
      <c r="C157" s="11" t="s">
        <v>13</v>
      </c>
      <c r="D157" s="10">
        <v>2902</v>
      </c>
      <c r="E157" s="3"/>
      <c r="F157" s="12" t="s">
        <v>7</v>
      </c>
      <c r="G157" s="13">
        <v>507</v>
      </c>
      <c r="H157" s="15">
        <v>0.16739999999999999</v>
      </c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15.75" thickBot="1" x14ac:dyDescent="0.3">
      <c r="A158" s="1"/>
      <c r="B158" s="1"/>
      <c r="C158" s="1"/>
      <c r="D158" s="1"/>
      <c r="E158" s="3"/>
      <c r="F158" s="12" t="s">
        <v>8</v>
      </c>
      <c r="G158" s="13">
        <v>1128</v>
      </c>
      <c r="H158" s="14">
        <v>0.3725</v>
      </c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15.75" thickBot="1" x14ac:dyDescent="0.3">
      <c r="A159" s="1"/>
      <c r="B159" s="1"/>
      <c r="C159" s="1"/>
      <c r="D159" s="1"/>
      <c r="E159" s="3"/>
      <c r="F159" s="12" t="s">
        <v>9</v>
      </c>
      <c r="G159" s="13">
        <v>381</v>
      </c>
      <c r="H159" s="14">
        <v>0.1258</v>
      </c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15.75" thickBot="1" x14ac:dyDescent="0.3">
      <c r="A160" s="1"/>
      <c r="B160" s="1"/>
      <c r="C160" s="1"/>
      <c r="D160" s="1"/>
      <c r="E160" s="3"/>
      <c r="F160" s="12" t="s">
        <v>10</v>
      </c>
      <c r="G160" s="13">
        <v>10</v>
      </c>
      <c r="H160" s="14">
        <v>3.3E-3</v>
      </c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15.75" thickBot="1" x14ac:dyDescent="0.3">
      <c r="A161" s="1"/>
      <c r="B161" s="1"/>
      <c r="C161" s="2"/>
      <c r="D161" s="2"/>
      <c r="E161" s="3"/>
      <c r="F161" s="12" t="s">
        <v>11</v>
      </c>
      <c r="G161" s="13">
        <v>6</v>
      </c>
      <c r="H161" s="14">
        <v>2E-3</v>
      </c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26.25" thickBot="1" x14ac:dyDescent="0.3">
      <c r="A162" s="1"/>
      <c r="B162" s="3"/>
      <c r="C162" s="11" t="s">
        <v>0</v>
      </c>
      <c r="D162" s="11" t="s">
        <v>22</v>
      </c>
      <c r="E162" s="3"/>
      <c r="F162" s="12" t="s">
        <v>12</v>
      </c>
      <c r="G162" s="13">
        <v>16</v>
      </c>
      <c r="H162" s="14">
        <v>5.3E-3</v>
      </c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26.25" thickBot="1" x14ac:dyDescent="0.3">
      <c r="A163" s="1"/>
      <c r="B163" s="3"/>
      <c r="C163" s="12" t="s">
        <v>2</v>
      </c>
      <c r="D163" s="13">
        <v>137</v>
      </c>
      <c r="E163" s="3"/>
      <c r="F163" s="11" t="s">
        <v>13</v>
      </c>
      <c r="G163" s="11">
        <v>3028</v>
      </c>
      <c r="H163" s="16">
        <v>1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15.75" thickBot="1" x14ac:dyDescent="0.3">
      <c r="A164" s="1"/>
      <c r="B164" s="3"/>
      <c r="C164" s="12" t="s">
        <v>3</v>
      </c>
      <c r="D164" s="13">
        <v>4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15.75" thickBot="1" x14ac:dyDescent="0.3">
      <c r="A165" s="1"/>
      <c r="B165" s="3"/>
      <c r="C165" s="12" t="s">
        <v>23</v>
      </c>
      <c r="D165" s="13">
        <v>1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15.75" thickBot="1" x14ac:dyDescent="0.3">
      <c r="A166" s="1"/>
      <c r="B166" s="3"/>
      <c r="C166" s="12" t="s">
        <v>4</v>
      </c>
      <c r="D166" s="13">
        <v>418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15.75" thickBot="1" x14ac:dyDescent="0.3">
      <c r="A167" s="1"/>
      <c r="B167" s="3"/>
      <c r="C167" s="12" t="s">
        <v>5</v>
      </c>
      <c r="D167" s="13">
        <v>278</v>
      </c>
      <c r="E167" s="1"/>
      <c r="F167" s="2"/>
      <c r="G167" s="2"/>
      <c r="H167" s="2"/>
      <c r="I167" s="17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26.25" thickBot="1" x14ac:dyDescent="0.3">
      <c r="A168" s="1"/>
      <c r="B168" s="3"/>
      <c r="C168" s="12" t="s">
        <v>6</v>
      </c>
      <c r="D168" s="13">
        <v>58</v>
      </c>
      <c r="E168" s="3"/>
      <c r="F168" s="11" t="s">
        <v>0</v>
      </c>
      <c r="G168" s="11" t="s">
        <v>24</v>
      </c>
      <c r="H168" s="18" t="s">
        <v>25</v>
      </c>
      <c r="I168" s="1"/>
      <c r="J168" s="1"/>
      <c r="K168" s="19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15.75" thickBot="1" x14ac:dyDescent="0.3">
      <c r="A169" s="1"/>
      <c r="B169" s="3"/>
      <c r="C169" s="12" t="s">
        <v>7</v>
      </c>
      <c r="D169" s="13">
        <v>409</v>
      </c>
      <c r="E169" s="3"/>
      <c r="F169" s="12" t="s">
        <v>2</v>
      </c>
      <c r="G169" s="13">
        <v>137</v>
      </c>
      <c r="H169" s="20" t="e">
        <v>#REF!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15.75" thickBot="1" x14ac:dyDescent="0.3">
      <c r="A170" s="1"/>
      <c r="B170" s="3"/>
      <c r="C170" s="12" t="s">
        <v>8</v>
      </c>
      <c r="D170" s="13">
        <v>1100</v>
      </c>
      <c r="E170" s="3"/>
      <c r="F170" s="12" t="s">
        <v>3</v>
      </c>
      <c r="G170" s="13">
        <v>4</v>
      </c>
      <c r="H170" s="20" t="e">
        <v>#REF!</v>
      </c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15.75" thickBot="1" x14ac:dyDescent="0.3">
      <c r="A171" s="1"/>
      <c r="B171" s="3"/>
      <c r="C171" s="12" t="s">
        <v>9</v>
      </c>
      <c r="D171" s="13">
        <v>457</v>
      </c>
      <c r="E171" s="3"/>
      <c r="F171" s="12" t="s">
        <v>23</v>
      </c>
      <c r="G171" s="13">
        <v>1</v>
      </c>
      <c r="H171" s="20" t="e">
        <v>#REF!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15.75" thickBot="1" x14ac:dyDescent="0.3">
      <c r="A172" s="1"/>
      <c r="B172" s="3"/>
      <c r="C172" s="12" t="s">
        <v>10</v>
      </c>
      <c r="D172" s="13">
        <v>26</v>
      </c>
      <c r="E172" s="3"/>
      <c r="F172" s="12" t="s">
        <v>4</v>
      </c>
      <c r="G172" s="13">
        <v>418</v>
      </c>
      <c r="H172" s="20" t="e">
        <v>#REF!</v>
      </c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15.75" thickBot="1" x14ac:dyDescent="0.3">
      <c r="A173" s="1"/>
      <c r="B173" s="3"/>
      <c r="C173" s="12" t="s">
        <v>11</v>
      </c>
      <c r="D173" s="13">
        <v>3</v>
      </c>
      <c r="E173" s="3"/>
      <c r="F173" s="12" t="s">
        <v>5</v>
      </c>
      <c r="G173" s="13">
        <v>278</v>
      </c>
      <c r="H173" s="20" t="e">
        <v>#REF!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15.75" thickBot="1" x14ac:dyDescent="0.3">
      <c r="A174" s="1"/>
      <c r="B174" s="3"/>
      <c r="C174" s="12" t="s">
        <v>12</v>
      </c>
      <c r="D174" s="13">
        <v>24</v>
      </c>
      <c r="E174" s="3"/>
      <c r="F174" s="12" t="s">
        <v>6</v>
      </c>
      <c r="G174" s="13">
        <v>58</v>
      </c>
      <c r="H174" s="20" t="e">
        <v>#REF!</v>
      </c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26.25" thickBot="1" x14ac:dyDescent="0.3">
      <c r="A175" s="1"/>
      <c r="B175" s="3"/>
      <c r="C175" s="11" t="s">
        <v>13</v>
      </c>
      <c r="D175" s="21">
        <v>2915</v>
      </c>
      <c r="E175" s="3"/>
      <c r="F175" s="12" t="s">
        <v>7</v>
      </c>
      <c r="G175" s="13">
        <v>409</v>
      </c>
      <c r="H175" s="20" t="e">
        <v>#REF!</v>
      </c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15.75" thickBot="1" x14ac:dyDescent="0.3">
      <c r="A176" s="1"/>
      <c r="B176" s="1"/>
      <c r="C176" s="1"/>
      <c r="D176" s="1"/>
      <c r="E176" s="3"/>
      <c r="F176" s="12" t="s">
        <v>8</v>
      </c>
      <c r="G176" s="13">
        <v>1100</v>
      </c>
      <c r="H176" s="20" t="e">
        <v>#REF!</v>
      </c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15.75" thickBot="1" x14ac:dyDescent="0.3">
      <c r="A177" s="1"/>
      <c r="B177" s="1"/>
      <c r="C177" s="1"/>
      <c r="D177" s="1"/>
      <c r="E177" s="3"/>
      <c r="F177" s="12" t="s">
        <v>9</v>
      </c>
      <c r="G177" s="13">
        <v>457</v>
      </c>
      <c r="H177" s="20" t="e">
        <v>#REF!</v>
      </c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15.75" thickBot="1" x14ac:dyDescent="0.3">
      <c r="A178" s="1"/>
      <c r="B178" s="1"/>
      <c r="C178" s="1"/>
      <c r="D178" s="1"/>
      <c r="E178" s="3"/>
      <c r="F178" s="12" t="s">
        <v>10</v>
      </c>
      <c r="G178" s="13">
        <v>26</v>
      </c>
      <c r="H178" s="20" t="e">
        <v>#REF!</v>
      </c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15.75" thickBot="1" x14ac:dyDescent="0.3">
      <c r="A179" s="1"/>
      <c r="B179" s="1"/>
      <c r="C179" s="1"/>
      <c r="D179" s="1"/>
      <c r="E179" s="3"/>
      <c r="F179" s="12" t="s">
        <v>11</v>
      </c>
      <c r="G179" s="13">
        <v>3</v>
      </c>
      <c r="H179" s="20" t="e">
        <v>#REF!</v>
      </c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15.75" thickBot="1" x14ac:dyDescent="0.3">
      <c r="A180" s="1"/>
      <c r="B180" s="1"/>
      <c r="C180" s="1"/>
      <c r="D180" s="1"/>
      <c r="E180" s="3"/>
      <c r="F180" s="12" t="s">
        <v>12</v>
      </c>
      <c r="G180" s="13">
        <v>24</v>
      </c>
      <c r="H180" s="20" t="e">
        <v>#REF!</v>
      </c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26.25" thickBot="1" x14ac:dyDescent="0.3">
      <c r="A181" s="1"/>
      <c r="B181" s="1"/>
      <c r="C181" s="1"/>
      <c r="D181" s="1"/>
      <c r="E181" s="3"/>
      <c r="F181" s="11" t="s">
        <v>13</v>
      </c>
      <c r="G181" s="21">
        <v>2915</v>
      </c>
      <c r="H181" s="22">
        <v>1</v>
      </c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15.75" thickBo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15.75" thickBo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15.75" thickBo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15.75" thickBo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2"/>
      <c r="O185" s="1"/>
      <c r="P185" s="1"/>
      <c r="Q185" s="1"/>
      <c r="R185" s="2"/>
      <c r="S185" s="2"/>
      <c r="T185" s="1"/>
      <c r="U185" s="1"/>
      <c r="V185" s="1"/>
      <c r="W185" s="1"/>
    </row>
    <row r="186" spans="1:23" ht="15.75" thickBo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3"/>
      <c r="N186" s="23" t="s">
        <v>26</v>
      </c>
      <c r="O186" s="2"/>
      <c r="P186" s="1"/>
      <c r="Q186" s="3"/>
      <c r="R186" s="23" t="s">
        <v>27</v>
      </c>
      <c r="S186" s="24" t="s">
        <v>28</v>
      </c>
      <c r="T186" s="1"/>
      <c r="U186" s="1"/>
      <c r="V186" s="1"/>
      <c r="W186" s="1"/>
    </row>
    <row r="187" spans="1:23" ht="45.75" thickBot="1" x14ac:dyDescent="0.3">
      <c r="A187" s="1"/>
      <c r="B187" s="1"/>
      <c r="C187" s="2"/>
      <c r="D187" s="2"/>
      <c r="E187" s="1"/>
      <c r="F187" s="1"/>
      <c r="G187" s="1"/>
      <c r="H187" s="1"/>
      <c r="I187" s="1"/>
      <c r="J187" s="1"/>
      <c r="K187" s="1"/>
      <c r="L187" s="1"/>
      <c r="M187" s="3"/>
      <c r="N187" s="25" t="s">
        <v>29</v>
      </c>
      <c r="O187" s="26">
        <v>23</v>
      </c>
      <c r="P187" s="1"/>
      <c r="Q187" s="3"/>
      <c r="R187" s="25" t="s">
        <v>29</v>
      </c>
      <c r="S187" s="26">
        <v>25</v>
      </c>
      <c r="T187" s="27">
        <v>0.2273</v>
      </c>
      <c r="U187" s="1"/>
      <c r="V187" s="1"/>
      <c r="W187" s="1"/>
    </row>
    <row r="188" spans="1:23" ht="30.75" thickBot="1" x14ac:dyDescent="0.3">
      <c r="A188" s="1"/>
      <c r="B188" s="3"/>
      <c r="C188" s="28" t="s">
        <v>30</v>
      </c>
      <c r="D188" s="28" t="s">
        <v>31</v>
      </c>
      <c r="E188" s="29" t="s">
        <v>25</v>
      </c>
      <c r="F188" s="1"/>
      <c r="G188" s="1"/>
      <c r="H188" s="1"/>
      <c r="I188" s="1"/>
      <c r="J188" s="1"/>
      <c r="K188" s="1"/>
      <c r="L188" s="1"/>
      <c r="M188" s="3"/>
      <c r="N188" s="25" t="s">
        <v>32</v>
      </c>
      <c r="O188" s="26">
        <v>15</v>
      </c>
      <c r="P188" s="1"/>
      <c r="Q188" s="3"/>
      <c r="R188" s="25" t="s">
        <v>32</v>
      </c>
      <c r="S188" s="26">
        <v>17</v>
      </c>
      <c r="T188" s="27">
        <v>0.1545</v>
      </c>
      <c r="U188" s="1"/>
      <c r="V188" s="1"/>
      <c r="W188" s="1"/>
    </row>
    <row r="189" spans="1:23" ht="30.75" thickBot="1" x14ac:dyDescent="0.3">
      <c r="A189" s="1"/>
      <c r="B189" s="3"/>
      <c r="C189" s="24" t="s">
        <v>1</v>
      </c>
      <c r="D189" s="30">
        <v>18</v>
      </c>
      <c r="E189" s="27">
        <v>0.375</v>
      </c>
      <c r="F189" s="1"/>
      <c r="G189" s="1"/>
      <c r="H189" s="1"/>
      <c r="I189" s="1"/>
      <c r="J189" s="1"/>
      <c r="K189" s="1"/>
      <c r="L189" s="1"/>
      <c r="M189" s="3"/>
      <c r="N189" s="25" t="s">
        <v>33</v>
      </c>
      <c r="O189" s="26">
        <v>20</v>
      </c>
      <c r="P189" s="1"/>
      <c r="Q189" s="3"/>
      <c r="R189" s="25" t="s">
        <v>33</v>
      </c>
      <c r="S189" s="26">
        <v>20</v>
      </c>
      <c r="T189" s="27">
        <v>0.18179999999999999</v>
      </c>
      <c r="U189" s="1"/>
      <c r="V189" s="1"/>
      <c r="W189" s="1"/>
    </row>
    <row r="190" spans="1:23" ht="30.75" thickBot="1" x14ac:dyDescent="0.3">
      <c r="A190" s="1"/>
      <c r="B190" s="3"/>
      <c r="C190" s="24" t="s">
        <v>17</v>
      </c>
      <c r="D190" s="30">
        <v>13</v>
      </c>
      <c r="E190" s="27">
        <v>0.27079999999999999</v>
      </c>
      <c r="F190" s="1"/>
      <c r="G190" s="1"/>
      <c r="H190" s="1"/>
      <c r="I190" s="1"/>
      <c r="J190" s="1"/>
      <c r="K190" s="1"/>
      <c r="L190" s="1"/>
      <c r="M190" s="3"/>
      <c r="N190" s="25" t="s">
        <v>34</v>
      </c>
      <c r="O190" s="26">
        <v>7</v>
      </c>
      <c r="P190" s="1"/>
      <c r="Q190" s="3"/>
      <c r="R190" s="25" t="s">
        <v>34</v>
      </c>
      <c r="S190" s="26">
        <v>7</v>
      </c>
      <c r="T190" s="27">
        <v>6.3600000000000004E-2</v>
      </c>
      <c r="U190" s="1"/>
      <c r="V190" s="1"/>
      <c r="W190" s="1"/>
    </row>
    <row r="191" spans="1:23" ht="30.75" thickBot="1" x14ac:dyDescent="0.3">
      <c r="A191" s="1"/>
      <c r="B191" s="3"/>
      <c r="C191" s="24" t="s">
        <v>35</v>
      </c>
      <c r="D191" s="30">
        <v>7</v>
      </c>
      <c r="E191" s="27">
        <v>0.14580000000000001</v>
      </c>
      <c r="F191" s="1"/>
      <c r="G191" s="1"/>
      <c r="H191" s="1"/>
      <c r="I191" s="1"/>
      <c r="J191" s="1"/>
      <c r="K191" s="1"/>
      <c r="L191" s="1"/>
      <c r="M191" s="3"/>
      <c r="N191" s="25" t="s">
        <v>36</v>
      </c>
      <c r="O191" s="26">
        <v>18</v>
      </c>
      <c r="P191" s="1"/>
      <c r="Q191" s="3"/>
      <c r="R191" s="25" t="s">
        <v>36</v>
      </c>
      <c r="S191" s="26">
        <v>18</v>
      </c>
      <c r="T191" s="27">
        <v>0.1636</v>
      </c>
      <c r="U191" s="1"/>
      <c r="V191" s="1"/>
      <c r="W191" s="1"/>
    </row>
    <row r="192" spans="1:23" ht="45.75" thickBot="1" x14ac:dyDescent="0.3">
      <c r="A192" s="1"/>
      <c r="B192" s="3"/>
      <c r="C192" s="24" t="s">
        <v>37</v>
      </c>
      <c r="D192" s="30">
        <v>8</v>
      </c>
      <c r="E192" s="27">
        <v>0.16669999999999999</v>
      </c>
      <c r="F192" s="1"/>
      <c r="G192" s="1"/>
      <c r="H192" s="1"/>
      <c r="I192" s="1"/>
      <c r="J192" s="1"/>
      <c r="K192" s="1"/>
      <c r="L192" s="1"/>
      <c r="M192" s="3"/>
      <c r="N192" s="25" t="s">
        <v>38</v>
      </c>
      <c r="O192" s="26">
        <v>1</v>
      </c>
      <c r="P192" s="1"/>
      <c r="Q192" s="3"/>
      <c r="R192" s="25" t="s">
        <v>38</v>
      </c>
      <c r="S192" s="26">
        <v>1</v>
      </c>
      <c r="T192" s="27">
        <v>9.1000000000000004E-3</v>
      </c>
      <c r="U192" s="1"/>
      <c r="V192" s="1"/>
      <c r="W192" s="1"/>
    </row>
    <row r="193" spans="1:23" ht="45.75" thickBot="1" x14ac:dyDescent="0.3">
      <c r="A193" s="1"/>
      <c r="B193" s="3"/>
      <c r="C193" s="24" t="s">
        <v>39</v>
      </c>
      <c r="D193" s="30">
        <v>0</v>
      </c>
      <c r="E193" s="27">
        <v>0</v>
      </c>
      <c r="F193" s="1"/>
      <c r="G193" s="1"/>
      <c r="H193" s="1"/>
      <c r="I193" s="1"/>
      <c r="J193" s="1"/>
      <c r="K193" s="1"/>
      <c r="L193" s="1"/>
      <c r="M193" s="3"/>
      <c r="N193" s="25" t="s">
        <v>40</v>
      </c>
      <c r="O193" s="26">
        <v>22</v>
      </c>
      <c r="P193" s="1"/>
      <c r="Q193" s="3"/>
      <c r="R193" s="25" t="s">
        <v>40</v>
      </c>
      <c r="S193" s="26">
        <v>22</v>
      </c>
      <c r="T193" s="27">
        <v>0.2</v>
      </c>
      <c r="U193" s="1"/>
      <c r="V193" s="1"/>
      <c r="W193" s="1"/>
    </row>
    <row r="194" spans="1:23" ht="15.75" thickBot="1" x14ac:dyDescent="0.3">
      <c r="A194" s="1"/>
      <c r="B194" s="3"/>
      <c r="C194" s="24" t="s">
        <v>14</v>
      </c>
      <c r="D194" s="30">
        <v>2</v>
      </c>
      <c r="E194" s="27">
        <v>4.1700000000000001E-2</v>
      </c>
      <c r="F194" s="1"/>
      <c r="G194" s="1"/>
      <c r="H194" s="1"/>
      <c r="I194" s="1"/>
      <c r="J194" s="1"/>
      <c r="K194" s="1"/>
      <c r="L194" s="1"/>
      <c r="M194" s="3"/>
      <c r="N194" s="31" t="s">
        <v>16</v>
      </c>
      <c r="O194" s="32">
        <v>106</v>
      </c>
      <c r="P194" s="1"/>
      <c r="Q194" s="3"/>
      <c r="R194" s="31" t="s">
        <v>16</v>
      </c>
      <c r="S194" s="32">
        <v>108</v>
      </c>
      <c r="T194" s="1"/>
      <c r="U194" s="1"/>
      <c r="V194" s="1"/>
      <c r="W194" s="1"/>
    </row>
    <row r="195" spans="1:23" ht="15.75" thickBot="1" x14ac:dyDescent="0.3">
      <c r="A195" s="1"/>
      <c r="B195" s="3"/>
      <c r="C195" s="24" t="s">
        <v>15</v>
      </c>
      <c r="D195" s="30">
        <v>0</v>
      </c>
      <c r="E195" s="27">
        <v>0</v>
      </c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15.75" thickBot="1" x14ac:dyDescent="0.3">
      <c r="A196" s="1"/>
      <c r="B196" s="3"/>
      <c r="C196" s="28" t="s">
        <v>16</v>
      </c>
      <c r="D196" s="33">
        <v>48</v>
      </c>
      <c r="E196" s="27">
        <v>1</v>
      </c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15.75" thickBo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15.75" thickBo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15.75" thickBo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15.75" thickBo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2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15.75" thickBo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3"/>
      <c r="N201" s="23" t="s">
        <v>41</v>
      </c>
      <c r="O201" s="2"/>
      <c r="P201" s="1"/>
      <c r="Q201" s="1"/>
      <c r="R201" s="1"/>
      <c r="S201" s="1"/>
      <c r="T201" s="1"/>
      <c r="U201" s="1"/>
      <c r="V201" s="1"/>
      <c r="W201" s="1"/>
    </row>
    <row r="202" spans="1:23" ht="45.75" thickBo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3"/>
      <c r="N202" s="25" t="s">
        <v>29</v>
      </c>
      <c r="O202" s="26">
        <v>2</v>
      </c>
      <c r="P202" s="1"/>
      <c r="Q202" s="1"/>
      <c r="R202" s="1"/>
      <c r="S202" s="1"/>
      <c r="T202" s="1"/>
      <c r="U202" s="1"/>
      <c r="V202" s="1"/>
      <c r="W202" s="1"/>
    </row>
    <row r="203" spans="1:23" ht="30.75" thickBo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3"/>
      <c r="N203" s="25" t="s">
        <v>32</v>
      </c>
      <c r="O203" s="26">
        <v>2</v>
      </c>
      <c r="P203" s="1"/>
      <c r="Q203" s="1"/>
      <c r="R203" s="1"/>
      <c r="S203" s="1"/>
      <c r="T203" s="1"/>
      <c r="U203" s="1"/>
      <c r="V203" s="1"/>
      <c r="W203" s="1"/>
    </row>
    <row r="204" spans="1:23" ht="30.75" thickBo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3"/>
      <c r="N204" s="25" t="s">
        <v>33</v>
      </c>
      <c r="O204" s="26">
        <v>2</v>
      </c>
      <c r="P204" s="1"/>
      <c r="Q204" s="1"/>
      <c r="R204" s="1"/>
      <c r="S204" s="1"/>
      <c r="T204" s="1"/>
      <c r="U204" s="1"/>
      <c r="V204" s="1"/>
      <c r="W204" s="1"/>
    </row>
    <row r="205" spans="1:23" ht="30.75" thickBot="1" x14ac:dyDescent="0.3">
      <c r="A205" s="1"/>
      <c r="B205" s="1"/>
      <c r="C205" s="2"/>
      <c r="D205" s="2"/>
      <c r="E205" s="1"/>
      <c r="F205" s="1"/>
      <c r="G205" s="1"/>
      <c r="H205" s="1"/>
      <c r="I205" s="1"/>
      <c r="J205" s="1"/>
      <c r="K205" s="1"/>
      <c r="L205" s="1"/>
      <c r="M205" s="3"/>
      <c r="N205" s="25" t="s">
        <v>34</v>
      </c>
      <c r="O205" s="26">
        <v>0</v>
      </c>
      <c r="P205" s="1"/>
      <c r="Q205" s="1"/>
      <c r="R205" s="1"/>
      <c r="S205" s="1"/>
      <c r="T205" s="1"/>
      <c r="U205" s="1"/>
      <c r="V205" s="1"/>
      <c r="W205" s="1"/>
    </row>
    <row r="206" spans="1:23" ht="30.75" thickBot="1" x14ac:dyDescent="0.3">
      <c r="A206" s="1"/>
      <c r="B206" s="3"/>
      <c r="C206" s="28" t="s">
        <v>42</v>
      </c>
      <c r="D206" s="28" t="s">
        <v>43</v>
      </c>
      <c r="E206" s="1"/>
      <c r="F206" s="1"/>
      <c r="G206" s="1"/>
      <c r="H206" s="1"/>
      <c r="I206" s="1"/>
      <c r="J206" s="1"/>
      <c r="K206" s="1"/>
      <c r="L206" s="1"/>
      <c r="M206" s="3"/>
      <c r="N206" s="25" t="s">
        <v>36</v>
      </c>
      <c r="O206" s="26">
        <v>0</v>
      </c>
      <c r="P206" s="1"/>
      <c r="Q206" s="1"/>
      <c r="R206" s="1"/>
      <c r="S206" s="1"/>
      <c r="T206" s="1"/>
      <c r="U206" s="1"/>
      <c r="V206" s="1"/>
      <c r="W206" s="1"/>
    </row>
    <row r="207" spans="1:23" ht="45.75" thickBot="1" x14ac:dyDescent="0.3">
      <c r="A207" s="1"/>
      <c r="B207" s="3"/>
      <c r="C207" s="24" t="s">
        <v>44</v>
      </c>
      <c r="D207" s="30">
        <v>18</v>
      </c>
      <c r="E207" s="1"/>
      <c r="F207" s="1"/>
      <c r="G207" s="1"/>
      <c r="H207" s="1"/>
      <c r="I207" s="1"/>
      <c r="J207" s="1"/>
      <c r="K207" s="1"/>
      <c r="L207" s="1"/>
      <c r="M207" s="3"/>
      <c r="N207" s="25" t="s">
        <v>38</v>
      </c>
      <c r="O207" s="26">
        <v>0</v>
      </c>
      <c r="P207" s="1"/>
      <c r="Q207" s="1"/>
      <c r="R207" s="1"/>
      <c r="S207" s="1"/>
      <c r="T207" s="1"/>
      <c r="U207" s="1"/>
      <c r="V207" s="1"/>
      <c r="W207" s="1"/>
    </row>
    <row r="208" spans="1:23" ht="45.75" thickBot="1" x14ac:dyDescent="0.3">
      <c r="A208" s="1"/>
      <c r="B208" s="3"/>
      <c r="C208" s="24" t="s">
        <v>45</v>
      </c>
      <c r="D208" s="30">
        <v>16</v>
      </c>
      <c r="E208" s="1"/>
      <c r="F208" s="1"/>
      <c r="G208" s="1"/>
      <c r="H208" s="1"/>
      <c r="I208" s="1"/>
      <c r="J208" s="1"/>
      <c r="K208" s="1"/>
      <c r="L208" s="1"/>
      <c r="M208" s="3"/>
      <c r="N208" s="25" t="s">
        <v>40</v>
      </c>
      <c r="O208" s="26">
        <v>0</v>
      </c>
      <c r="P208" s="1"/>
      <c r="Q208" s="1"/>
      <c r="R208" s="1"/>
      <c r="S208" s="1"/>
      <c r="T208" s="1"/>
      <c r="U208" s="1"/>
      <c r="V208" s="1"/>
      <c r="W208" s="1"/>
    </row>
    <row r="209" spans="1:23" ht="15.75" thickBot="1" x14ac:dyDescent="0.3">
      <c r="A209" s="1"/>
      <c r="B209" s="3"/>
      <c r="C209" s="24" t="s">
        <v>46</v>
      </c>
      <c r="D209" s="30">
        <v>25</v>
      </c>
      <c r="E209" s="1"/>
      <c r="F209" s="1"/>
      <c r="G209" s="1"/>
      <c r="H209" s="1"/>
      <c r="I209" s="1"/>
      <c r="J209" s="1"/>
      <c r="K209" s="1"/>
      <c r="L209" s="1"/>
      <c r="M209" s="3"/>
      <c r="N209" s="31" t="s">
        <v>16</v>
      </c>
      <c r="O209" s="32">
        <v>6</v>
      </c>
      <c r="P209" s="1"/>
      <c r="Q209" s="1"/>
      <c r="R209" s="1"/>
      <c r="S209" s="1"/>
      <c r="T209" s="1"/>
      <c r="U209" s="1"/>
      <c r="V209" s="1"/>
      <c r="W209" s="1"/>
    </row>
    <row r="210" spans="1:23" ht="30.75" thickBot="1" x14ac:dyDescent="0.3">
      <c r="A210" s="1"/>
      <c r="B210" s="3"/>
      <c r="C210" s="24" t="s">
        <v>47</v>
      </c>
      <c r="D210" s="30">
        <v>16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30.75" thickBot="1" x14ac:dyDescent="0.3">
      <c r="A211" s="1"/>
      <c r="B211" s="3"/>
      <c r="C211" s="24" t="s">
        <v>48</v>
      </c>
      <c r="D211" s="30">
        <v>2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15.75" thickBot="1" x14ac:dyDescent="0.3">
      <c r="A212" s="1"/>
      <c r="B212" s="3"/>
      <c r="C212" s="34" t="s">
        <v>49</v>
      </c>
      <c r="D212" s="30">
        <v>4</v>
      </c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15.75" thickBot="1" x14ac:dyDescent="0.3">
      <c r="A213" s="1"/>
      <c r="B213" s="3"/>
      <c r="C213" s="28" t="s">
        <v>16</v>
      </c>
      <c r="D213" s="35">
        <v>81</v>
      </c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15.75" thickBo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15.75" thickBo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15.75" thickBo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15.75" thickBo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15.75" thickBo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15.75" thickBo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15.75" thickBo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15.75" thickBo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7FCF0-A2ED-49FA-A346-35E5395DA574}">
  <dimension ref="B2:E423"/>
  <sheetViews>
    <sheetView tabSelected="1" workbookViewId="0">
      <selection activeCell="C119" sqref="C119"/>
    </sheetView>
  </sheetViews>
  <sheetFormatPr baseColWidth="10" defaultRowHeight="15" x14ac:dyDescent="0.25"/>
  <cols>
    <col min="2" max="2" width="29.28515625" customWidth="1"/>
  </cols>
  <sheetData>
    <row r="2" spans="2:4" ht="15.75" thickBot="1" x14ac:dyDescent="0.3"/>
    <row r="3" spans="2:4" ht="15.75" thickBot="1" x14ac:dyDescent="0.3">
      <c r="B3" s="1"/>
      <c r="C3" s="1"/>
      <c r="D3" s="1"/>
    </row>
    <row r="4" spans="2:4" ht="15.75" thickBot="1" x14ac:dyDescent="0.3">
      <c r="B4" s="38"/>
      <c r="C4" s="38"/>
      <c r="D4" s="1"/>
    </row>
    <row r="5" spans="2:4" ht="15.75" thickBot="1" x14ac:dyDescent="0.3">
      <c r="B5" s="45" t="s">
        <v>50</v>
      </c>
      <c r="C5" s="46"/>
      <c r="D5" s="37"/>
    </row>
    <row r="6" spans="2:4" ht="15.75" thickBot="1" x14ac:dyDescent="0.3">
      <c r="B6" s="47" t="s">
        <v>86</v>
      </c>
      <c r="C6" s="56">
        <v>20</v>
      </c>
      <c r="D6" s="37"/>
    </row>
    <row r="7" spans="2:4" ht="15.75" thickBot="1" x14ac:dyDescent="0.3">
      <c r="B7" s="47" t="s">
        <v>87</v>
      </c>
      <c r="C7" s="56">
        <v>23</v>
      </c>
      <c r="D7" s="37"/>
    </row>
    <row r="8" spans="2:4" ht="15.75" thickBot="1" x14ac:dyDescent="0.3">
      <c r="B8" s="49" t="s">
        <v>88</v>
      </c>
      <c r="C8" s="50">
        <v>43</v>
      </c>
      <c r="D8" s="37"/>
    </row>
    <row r="9" spans="2:4" ht="15.75" thickBot="1" x14ac:dyDescent="0.3">
      <c r="B9" s="51"/>
      <c r="C9" s="51"/>
      <c r="D9" s="1"/>
    </row>
    <row r="10" spans="2:4" ht="15.75" thickBot="1" x14ac:dyDescent="0.3">
      <c r="B10" s="38"/>
      <c r="C10" s="38"/>
      <c r="D10" s="1"/>
    </row>
    <row r="11" spans="2:4" ht="15.75" thickBot="1" x14ac:dyDescent="0.3">
      <c r="B11" s="45" t="s">
        <v>51</v>
      </c>
      <c r="C11" s="46"/>
      <c r="D11" s="37"/>
    </row>
    <row r="12" spans="2:4" ht="15.75" thickBot="1" x14ac:dyDescent="0.3">
      <c r="B12" s="47" t="s">
        <v>52</v>
      </c>
      <c r="C12" s="56">
        <v>3</v>
      </c>
      <c r="D12" s="37"/>
    </row>
    <row r="13" spans="2:4" ht="15.75" thickBot="1" x14ac:dyDescent="0.3">
      <c r="B13" s="47" t="s">
        <v>89</v>
      </c>
      <c r="C13" s="56">
        <v>0</v>
      </c>
      <c r="D13" s="37"/>
    </row>
    <row r="14" spans="2:4" ht="15.75" thickBot="1" x14ac:dyDescent="0.3">
      <c r="B14" s="47" t="s">
        <v>90</v>
      </c>
      <c r="C14" s="56">
        <v>1</v>
      </c>
      <c r="D14" s="37"/>
    </row>
    <row r="15" spans="2:4" ht="15.75" thickBot="1" x14ac:dyDescent="0.3">
      <c r="B15" s="47" t="s">
        <v>91</v>
      </c>
      <c r="C15" s="56">
        <v>0</v>
      </c>
      <c r="D15" s="37"/>
    </row>
    <row r="16" spans="2:4" ht="15.75" thickBot="1" x14ac:dyDescent="0.3">
      <c r="B16" s="47" t="s">
        <v>92</v>
      </c>
      <c r="C16" s="56">
        <v>1</v>
      </c>
      <c r="D16" s="37"/>
    </row>
    <row r="17" spans="2:4" ht="15.75" thickBot="1" x14ac:dyDescent="0.3">
      <c r="B17" s="47" t="s">
        <v>93</v>
      </c>
      <c r="C17" s="56">
        <v>0</v>
      </c>
      <c r="D17" s="37"/>
    </row>
    <row r="18" spans="2:4" ht="15.75" thickBot="1" x14ac:dyDescent="0.3">
      <c r="B18" s="47" t="s">
        <v>94</v>
      </c>
      <c r="C18" s="56">
        <v>2</v>
      </c>
      <c r="D18" s="37"/>
    </row>
    <row r="19" spans="2:4" ht="15.75" thickBot="1" x14ac:dyDescent="0.3">
      <c r="B19" s="47" t="s">
        <v>95</v>
      </c>
      <c r="C19" s="56">
        <v>4</v>
      </c>
      <c r="D19" s="37"/>
    </row>
    <row r="20" spans="2:4" ht="15.75" thickBot="1" x14ac:dyDescent="0.3">
      <c r="B20" s="47" t="s">
        <v>96</v>
      </c>
      <c r="C20" s="56">
        <v>4</v>
      </c>
      <c r="D20" s="37"/>
    </row>
    <row r="21" spans="2:4" ht="15.75" thickBot="1" x14ac:dyDescent="0.3">
      <c r="B21" s="47" t="s">
        <v>97</v>
      </c>
      <c r="C21" s="56">
        <v>2</v>
      </c>
      <c r="D21" s="37"/>
    </row>
    <row r="22" spans="2:4" ht="15.75" thickBot="1" x14ac:dyDescent="0.3">
      <c r="B22" s="47" t="s">
        <v>98</v>
      </c>
      <c r="C22" s="56">
        <v>7</v>
      </c>
      <c r="D22" s="37"/>
    </row>
    <row r="23" spans="2:4" ht="15.75" thickBot="1" x14ac:dyDescent="0.3">
      <c r="B23" s="47" t="s">
        <v>99</v>
      </c>
      <c r="C23" s="56">
        <v>5</v>
      </c>
      <c r="D23" s="37"/>
    </row>
    <row r="24" spans="2:4" ht="15.75" thickBot="1" x14ac:dyDescent="0.3">
      <c r="B24" s="47" t="s">
        <v>100</v>
      </c>
      <c r="C24" s="56">
        <v>6</v>
      </c>
      <c r="D24" s="37"/>
    </row>
    <row r="25" spans="2:4" ht="15.75" thickBot="1" x14ac:dyDescent="0.3">
      <c r="B25" s="47" t="s">
        <v>101</v>
      </c>
      <c r="C25" s="56">
        <v>4</v>
      </c>
      <c r="D25" s="37"/>
    </row>
    <row r="26" spans="2:4" ht="15.75" thickBot="1" x14ac:dyDescent="0.3">
      <c r="B26" s="47" t="s">
        <v>102</v>
      </c>
      <c r="C26" s="56">
        <v>3</v>
      </c>
      <c r="D26" s="37"/>
    </row>
    <row r="27" spans="2:4" ht="15.75" thickBot="1" x14ac:dyDescent="0.3">
      <c r="B27" s="47" t="s">
        <v>53</v>
      </c>
      <c r="C27" s="56">
        <v>1</v>
      </c>
      <c r="D27" s="37"/>
    </row>
    <row r="28" spans="2:4" ht="15.75" thickBot="1" x14ac:dyDescent="0.3">
      <c r="B28" s="49" t="s">
        <v>16</v>
      </c>
      <c r="C28" s="50">
        <f>SUM(C12:C27)</f>
        <v>43</v>
      </c>
      <c r="D28" s="37"/>
    </row>
    <row r="29" spans="2:4" ht="15.75" thickBot="1" x14ac:dyDescent="0.3">
      <c r="B29" s="51"/>
      <c r="C29" s="51"/>
      <c r="D29" s="1"/>
    </row>
    <row r="30" spans="2:4" ht="15.75" thickBot="1" x14ac:dyDescent="0.3">
      <c r="B30" s="73"/>
      <c r="C30" s="73"/>
      <c r="D30" s="1"/>
    </row>
    <row r="31" spans="2:4" ht="15.75" thickBot="1" x14ac:dyDescent="0.3">
      <c r="B31" s="45" t="s">
        <v>121</v>
      </c>
      <c r="C31" s="46"/>
      <c r="D31" s="1"/>
    </row>
    <row r="32" spans="2:4" ht="15.75" thickBot="1" x14ac:dyDescent="0.3">
      <c r="B32" s="47" t="s">
        <v>119</v>
      </c>
      <c r="C32" s="56">
        <v>20</v>
      </c>
      <c r="D32" s="1"/>
    </row>
    <row r="33" spans="2:4" ht="15.75" thickBot="1" x14ac:dyDescent="0.3">
      <c r="B33" s="47" t="s">
        <v>120</v>
      </c>
      <c r="C33" s="56">
        <v>23</v>
      </c>
      <c r="D33" s="1"/>
    </row>
    <row r="34" spans="2:4" ht="15.75" thickBot="1" x14ac:dyDescent="0.3">
      <c r="B34" s="49" t="s">
        <v>16</v>
      </c>
      <c r="C34" s="50">
        <f>SUM(C32:C33)</f>
        <v>43</v>
      </c>
      <c r="D34" s="1"/>
    </row>
    <row r="35" spans="2:4" ht="15.75" thickBot="1" x14ac:dyDescent="0.3">
      <c r="B35" s="51"/>
      <c r="C35" s="51"/>
      <c r="D35" s="1"/>
    </row>
    <row r="36" spans="2:4" ht="15.75" thickBot="1" x14ac:dyDescent="0.3">
      <c r="B36" s="45" t="s">
        <v>65</v>
      </c>
      <c r="C36" s="46"/>
      <c r="D36" s="1"/>
    </row>
    <row r="37" spans="2:4" ht="15.75" thickBot="1" x14ac:dyDescent="0.3">
      <c r="B37" s="47" t="s">
        <v>66</v>
      </c>
      <c r="C37" s="56">
        <v>38</v>
      </c>
      <c r="D37" s="1"/>
    </row>
    <row r="38" spans="2:4" ht="15.75" thickBot="1" x14ac:dyDescent="0.3">
      <c r="B38" s="47" t="s">
        <v>67</v>
      </c>
      <c r="C38" s="56">
        <v>2</v>
      </c>
      <c r="D38" s="1"/>
    </row>
    <row r="39" spans="2:4" ht="15.75" thickBot="1" x14ac:dyDescent="0.3">
      <c r="B39" s="47" t="s">
        <v>68</v>
      </c>
      <c r="C39" s="56">
        <v>3</v>
      </c>
      <c r="D39" s="1"/>
    </row>
    <row r="40" spans="2:4" ht="15.75" thickBot="1" x14ac:dyDescent="0.3">
      <c r="B40" s="47" t="s">
        <v>69</v>
      </c>
      <c r="C40" s="56">
        <v>0</v>
      </c>
      <c r="D40" s="1"/>
    </row>
    <row r="41" spans="2:4" ht="15.75" thickBot="1" x14ac:dyDescent="0.3">
      <c r="B41" s="49" t="s">
        <v>16</v>
      </c>
      <c r="C41" s="50">
        <f>SUM(C37:C40)</f>
        <v>43</v>
      </c>
      <c r="D41" s="1"/>
    </row>
    <row r="42" spans="2:4" ht="15.75" thickBot="1" x14ac:dyDescent="0.3">
      <c r="B42" s="73"/>
      <c r="C42" s="73"/>
      <c r="D42" s="1"/>
    </row>
    <row r="43" spans="2:4" ht="15.75" thickBot="1" x14ac:dyDescent="0.3">
      <c r="B43" s="52" t="s">
        <v>54</v>
      </c>
      <c r="C43" s="53"/>
      <c r="D43" s="37"/>
    </row>
    <row r="44" spans="2:4" ht="15.75" thickBot="1" x14ac:dyDescent="0.3">
      <c r="B44" s="54" t="s">
        <v>39</v>
      </c>
      <c r="C44" s="55">
        <v>0</v>
      </c>
      <c r="D44" s="37"/>
    </row>
    <row r="45" spans="2:4" ht="15.75" thickBot="1" x14ac:dyDescent="0.3">
      <c r="B45" s="47" t="s">
        <v>1</v>
      </c>
      <c r="C45" s="56">
        <v>18</v>
      </c>
      <c r="D45" s="37"/>
    </row>
    <row r="46" spans="2:4" ht="15.75" thickBot="1" x14ac:dyDescent="0.3">
      <c r="B46" s="47" t="s">
        <v>55</v>
      </c>
      <c r="C46" s="56">
        <v>4</v>
      </c>
      <c r="D46" s="37"/>
    </row>
    <row r="47" spans="2:4" ht="15.75" thickBot="1" x14ac:dyDescent="0.3">
      <c r="B47" s="47" t="s">
        <v>56</v>
      </c>
      <c r="C47" s="56">
        <v>5</v>
      </c>
      <c r="D47" s="37"/>
    </row>
    <row r="48" spans="2:4" ht="15.75" thickBot="1" x14ac:dyDescent="0.3">
      <c r="B48" s="47" t="s">
        <v>18</v>
      </c>
      <c r="C48" s="56">
        <v>0</v>
      </c>
      <c r="D48" s="37"/>
    </row>
    <row r="49" spans="2:4" ht="15.75" thickBot="1" x14ac:dyDescent="0.3">
      <c r="B49" s="47" t="s">
        <v>14</v>
      </c>
      <c r="C49" s="56">
        <v>4</v>
      </c>
      <c r="D49" s="37"/>
    </row>
    <row r="50" spans="2:4" ht="15.75" thickBot="1" x14ac:dyDescent="0.3">
      <c r="B50" s="47" t="s">
        <v>15</v>
      </c>
      <c r="C50" s="56">
        <v>0</v>
      </c>
      <c r="D50" s="37"/>
    </row>
    <row r="51" spans="2:4" ht="15.75" thickBot="1" x14ac:dyDescent="0.3">
      <c r="B51" s="47" t="s">
        <v>37</v>
      </c>
      <c r="C51" s="56">
        <v>12</v>
      </c>
      <c r="D51" s="37"/>
    </row>
    <row r="52" spans="2:4" ht="15.75" thickBot="1" x14ac:dyDescent="0.3">
      <c r="B52" s="47" t="s">
        <v>57</v>
      </c>
      <c r="C52" s="56">
        <v>0</v>
      </c>
      <c r="D52" s="37"/>
    </row>
    <row r="53" spans="2:4" ht="15.75" thickBot="1" x14ac:dyDescent="0.3">
      <c r="B53" s="49" t="s">
        <v>16</v>
      </c>
      <c r="C53" s="50">
        <f>SUM(C44:C52)</f>
        <v>43</v>
      </c>
      <c r="D53" s="37"/>
    </row>
    <row r="54" spans="2:4" ht="15.75" thickBot="1" x14ac:dyDescent="0.3">
      <c r="B54" s="51"/>
      <c r="C54" s="51"/>
      <c r="D54" s="1"/>
    </row>
    <row r="55" spans="2:4" ht="15.75" thickBot="1" x14ac:dyDescent="0.3">
      <c r="B55" s="38"/>
      <c r="C55" s="38"/>
      <c r="D55" s="1"/>
    </row>
    <row r="56" spans="2:4" ht="15.75" thickBot="1" x14ac:dyDescent="0.3">
      <c r="B56" s="67" t="s">
        <v>58</v>
      </c>
      <c r="C56" s="68"/>
      <c r="D56" s="37"/>
    </row>
    <row r="57" spans="2:4" ht="15.75" thickBot="1" x14ac:dyDescent="0.3">
      <c r="B57" s="69" t="s">
        <v>59</v>
      </c>
      <c r="C57" s="70">
        <v>15</v>
      </c>
      <c r="D57" s="37"/>
    </row>
    <row r="58" spans="2:4" ht="15.75" thickBot="1" x14ac:dyDescent="0.3">
      <c r="B58" s="69" t="s">
        <v>60</v>
      </c>
      <c r="C58" s="70">
        <v>31</v>
      </c>
      <c r="D58" s="37"/>
    </row>
    <row r="59" spans="2:4" ht="15.75" thickBot="1" x14ac:dyDescent="0.3">
      <c r="B59" s="69" t="s">
        <v>61</v>
      </c>
      <c r="C59" s="70">
        <v>19</v>
      </c>
      <c r="D59" s="37"/>
    </row>
    <row r="60" spans="2:4" ht="15.75" thickBot="1" x14ac:dyDescent="0.3">
      <c r="B60" s="69" t="s">
        <v>62</v>
      </c>
      <c r="C60" s="70">
        <v>12</v>
      </c>
      <c r="D60" s="37"/>
    </row>
    <row r="61" spans="2:4" ht="15.75" thickBot="1" x14ac:dyDescent="0.3">
      <c r="B61" s="71" t="s">
        <v>16</v>
      </c>
      <c r="C61" s="72">
        <f>SUM(C57:C60)</f>
        <v>77</v>
      </c>
      <c r="D61" s="37"/>
    </row>
    <row r="62" spans="2:4" s="79" customFormat="1" ht="15.75" thickBot="1" x14ac:dyDescent="0.3">
      <c r="B62" s="76"/>
      <c r="C62" s="77"/>
      <c r="D62" s="78"/>
    </row>
    <row r="63" spans="2:4" s="79" customFormat="1" ht="15.75" thickBot="1" x14ac:dyDescent="0.3">
      <c r="B63" s="76"/>
      <c r="C63" s="77"/>
      <c r="D63" s="78"/>
    </row>
    <row r="64" spans="2:4" s="79" customFormat="1" ht="15.75" thickBot="1" x14ac:dyDescent="0.3">
      <c r="B64" s="76"/>
      <c r="C64" s="77"/>
      <c r="D64" s="78"/>
    </row>
    <row r="65" spans="2:4" ht="15.75" thickBot="1" x14ac:dyDescent="0.3">
      <c r="B65" s="52" t="s">
        <v>103</v>
      </c>
      <c r="C65" s="53"/>
      <c r="D65" s="37"/>
    </row>
    <row r="66" spans="2:4" ht="15.75" thickBot="1" x14ac:dyDescent="0.3">
      <c r="B66" s="47" t="s">
        <v>127</v>
      </c>
      <c r="C66" s="74">
        <v>4</v>
      </c>
      <c r="D66" s="37"/>
    </row>
    <row r="67" spans="2:4" ht="15.75" thickBot="1" x14ac:dyDescent="0.3">
      <c r="B67" s="47" t="s">
        <v>109</v>
      </c>
      <c r="C67" s="74">
        <v>3</v>
      </c>
      <c r="D67" s="37"/>
    </row>
    <row r="68" spans="2:4" ht="15.75" thickBot="1" x14ac:dyDescent="0.3">
      <c r="B68" s="54" t="s">
        <v>104</v>
      </c>
      <c r="C68" s="75">
        <v>9</v>
      </c>
      <c r="D68" s="37"/>
    </row>
    <row r="69" spans="2:4" ht="15.75" thickBot="1" x14ac:dyDescent="0.3">
      <c r="B69" s="54" t="s">
        <v>111</v>
      </c>
      <c r="C69" s="75">
        <v>2</v>
      </c>
      <c r="D69" s="37"/>
    </row>
    <row r="70" spans="2:4" ht="15.75" thickBot="1" x14ac:dyDescent="0.3">
      <c r="B70" s="54" t="s">
        <v>112</v>
      </c>
      <c r="C70" s="55">
        <v>0</v>
      </c>
      <c r="D70" s="37"/>
    </row>
    <row r="71" spans="2:4" ht="15.75" thickBot="1" x14ac:dyDescent="0.3">
      <c r="B71" s="54" t="s">
        <v>110</v>
      </c>
      <c r="C71" s="75">
        <v>1</v>
      </c>
      <c r="D71" s="37"/>
    </row>
    <row r="72" spans="2:4" ht="15.75" thickBot="1" x14ac:dyDescent="0.3">
      <c r="B72" s="47" t="s">
        <v>108</v>
      </c>
      <c r="C72" s="74">
        <v>2</v>
      </c>
      <c r="D72" s="37"/>
    </row>
    <row r="73" spans="2:4" ht="15.75" thickBot="1" x14ac:dyDescent="0.3">
      <c r="B73" s="47" t="s">
        <v>105</v>
      </c>
      <c r="C73" s="74">
        <v>3</v>
      </c>
      <c r="D73" s="37"/>
    </row>
    <row r="74" spans="2:4" ht="15.75" thickBot="1" x14ac:dyDescent="0.3">
      <c r="B74" s="47" t="s">
        <v>106</v>
      </c>
      <c r="C74" s="74">
        <v>2</v>
      </c>
      <c r="D74" s="37"/>
    </row>
    <row r="75" spans="2:4" ht="15.75" thickBot="1" x14ac:dyDescent="0.3">
      <c r="B75" s="47" t="s">
        <v>107</v>
      </c>
      <c r="C75" s="74">
        <v>2</v>
      </c>
      <c r="D75" s="37"/>
    </row>
    <row r="76" spans="2:4" ht="15.75" thickBot="1" x14ac:dyDescent="0.3">
      <c r="B76" s="47" t="s">
        <v>126</v>
      </c>
      <c r="C76" s="74">
        <v>11</v>
      </c>
      <c r="D76" s="37"/>
    </row>
    <row r="77" spans="2:4" ht="15.75" thickBot="1" x14ac:dyDescent="0.3">
      <c r="B77" s="47" t="s">
        <v>125</v>
      </c>
      <c r="C77" s="74">
        <v>4</v>
      </c>
      <c r="D77" s="37"/>
    </row>
    <row r="78" spans="2:4" ht="15.75" thickBot="1" x14ac:dyDescent="0.3">
      <c r="B78" s="49" t="s">
        <v>16</v>
      </c>
      <c r="C78" s="50">
        <f>SUM(C66:C77)</f>
        <v>43</v>
      </c>
      <c r="D78" s="37"/>
    </row>
    <row r="79" spans="2:4" s="79" customFormat="1" ht="15.75" thickBot="1" x14ac:dyDescent="0.3">
      <c r="B79" s="76"/>
      <c r="C79" s="77"/>
      <c r="D79" s="78"/>
    </row>
    <row r="80" spans="2:4" s="79" customFormat="1" ht="15.75" thickBot="1" x14ac:dyDescent="0.3">
      <c r="B80" s="76"/>
      <c r="C80" s="77"/>
      <c r="D80" s="78"/>
    </row>
    <row r="81" spans="2:4" s="79" customFormat="1" ht="15.75" thickBot="1" x14ac:dyDescent="0.3">
      <c r="B81" s="76"/>
      <c r="C81" s="77"/>
      <c r="D81" s="78"/>
    </row>
    <row r="82" spans="2:4" ht="15.75" thickBot="1" x14ac:dyDescent="0.3">
      <c r="B82" s="51"/>
      <c r="C82" s="51"/>
      <c r="D82" s="1"/>
    </row>
    <row r="83" spans="2:4" ht="15.75" thickBot="1" x14ac:dyDescent="0.3">
      <c r="B83" s="45" t="s">
        <v>42</v>
      </c>
      <c r="C83" s="46"/>
      <c r="D83" s="1"/>
    </row>
    <row r="84" spans="2:4" ht="15.75" thickBot="1" x14ac:dyDescent="0.3">
      <c r="B84" s="47" t="s">
        <v>70</v>
      </c>
      <c r="C84" s="48">
        <v>22</v>
      </c>
      <c r="D84" s="1"/>
    </row>
    <row r="85" spans="2:4" ht="15.75" thickBot="1" x14ac:dyDescent="0.3">
      <c r="B85" s="47" t="s">
        <v>71</v>
      </c>
      <c r="C85" s="48">
        <v>2</v>
      </c>
      <c r="D85" s="1"/>
    </row>
    <row r="86" spans="2:4" ht="15.75" thickBot="1" x14ac:dyDescent="0.3">
      <c r="B86" s="47" t="s">
        <v>72</v>
      </c>
      <c r="C86" s="48">
        <v>0</v>
      </c>
      <c r="D86" s="1"/>
    </row>
    <row r="87" spans="2:4" ht="15.75" thickBot="1" x14ac:dyDescent="0.3">
      <c r="B87" s="47" t="s">
        <v>47</v>
      </c>
      <c r="C87" s="48">
        <v>11</v>
      </c>
      <c r="D87" s="1"/>
    </row>
    <row r="88" spans="2:4" ht="15.75" thickBot="1" x14ac:dyDescent="0.3">
      <c r="B88" s="47" t="s">
        <v>73</v>
      </c>
      <c r="C88" s="48">
        <v>15</v>
      </c>
      <c r="D88" s="1"/>
    </row>
    <row r="89" spans="2:4" ht="15.75" thickBot="1" x14ac:dyDescent="0.3">
      <c r="B89" s="47" t="s">
        <v>74</v>
      </c>
      <c r="C89" s="48">
        <v>1</v>
      </c>
      <c r="D89" s="1"/>
    </row>
    <row r="90" spans="2:4" ht="15.75" thickBot="1" x14ac:dyDescent="0.3">
      <c r="B90" s="47" t="s">
        <v>83</v>
      </c>
      <c r="C90" s="48">
        <v>6</v>
      </c>
      <c r="D90" s="1"/>
    </row>
    <row r="91" spans="2:4" ht="15.75" thickBot="1" x14ac:dyDescent="0.3">
      <c r="B91" s="47" t="s">
        <v>84</v>
      </c>
      <c r="C91" s="48">
        <v>10</v>
      </c>
      <c r="D91" s="37"/>
    </row>
    <row r="92" spans="2:4" ht="15.75" thickBot="1" x14ac:dyDescent="0.3">
      <c r="B92" s="47" t="s">
        <v>85</v>
      </c>
      <c r="C92" s="48">
        <v>12</v>
      </c>
      <c r="D92" s="37"/>
    </row>
    <row r="93" spans="2:4" ht="15.75" thickBot="1" x14ac:dyDescent="0.3">
      <c r="B93" s="49" t="s">
        <v>16</v>
      </c>
      <c r="C93" s="50">
        <f>SUM(C84:C92)</f>
        <v>79</v>
      </c>
      <c r="D93" s="37"/>
    </row>
    <row r="94" spans="2:4" ht="15.75" thickBot="1" x14ac:dyDescent="0.3">
      <c r="D94" s="37"/>
    </row>
    <row r="95" spans="2:4" ht="15.75" thickBot="1" x14ac:dyDescent="0.3">
      <c r="B95" s="51"/>
      <c r="C95" s="51"/>
      <c r="D95" s="1"/>
    </row>
    <row r="96" spans="2:4" ht="15.75" thickBot="1" x14ac:dyDescent="0.3">
      <c r="B96" s="45" t="s">
        <v>113</v>
      </c>
      <c r="C96" s="46"/>
      <c r="D96" s="1"/>
    </row>
    <row r="97" spans="2:4" ht="15.75" thickBot="1" x14ac:dyDescent="0.3">
      <c r="B97" s="47" t="s">
        <v>115</v>
      </c>
      <c r="C97" s="48">
        <v>15</v>
      </c>
      <c r="D97" s="1"/>
    </row>
    <row r="98" spans="2:4" ht="15.75" thickBot="1" x14ac:dyDescent="0.3">
      <c r="B98" s="47" t="s">
        <v>114</v>
      </c>
      <c r="C98" s="48">
        <v>4</v>
      </c>
      <c r="D98" s="1"/>
    </row>
    <row r="99" spans="2:4" ht="15.75" thickBot="1" x14ac:dyDescent="0.3">
      <c r="B99" s="47" t="s">
        <v>122</v>
      </c>
      <c r="C99" s="48">
        <v>2</v>
      </c>
      <c r="D99" s="1"/>
    </row>
    <row r="100" spans="2:4" ht="15.75" thickBot="1" x14ac:dyDescent="0.3">
      <c r="B100" s="47" t="s">
        <v>116</v>
      </c>
      <c r="C100" s="48">
        <v>8</v>
      </c>
      <c r="D100" s="1"/>
    </row>
    <row r="101" spans="2:4" ht="15.75" thickBot="1" x14ac:dyDescent="0.3">
      <c r="B101" s="47" t="s">
        <v>117</v>
      </c>
      <c r="C101" s="48">
        <v>3</v>
      </c>
      <c r="D101" s="1"/>
    </row>
    <row r="102" spans="2:4" ht="15.75" thickBot="1" x14ac:dyDescent="0.3">
      <c r="B102" s="47" t="s">
        <v>118</v>
      </c>
      <c r="C102" s="48">
        <v>11</v>
      </c>
      <c r="D102" s="1"/>
    </row>
    <row r="103" spans="2:4" ht="15.75" thickBot="1" x14ac:dyDescent="0.3">
      <c r="B103" s="49" t="s">
        <v>16</v>
      </c>
      <c r="C103" s="50">
        <f>SUM(C97:C102)</f>
        <v>43</v>
      </c>
      <c r="D103" s="1"/>
    </row>
    <row r="104" spans="2:4" ht="15.75" thickBot="1" x14ac:dyDescent="0.3">
      <c r="B104" s="51"/>
      <c r="C104" s="51"/>
      <c r="D104" s="1"/>
    </row>
    <row r="105" spans="2:4" ht="15.75" thickBot="1" x14ac:dyDescent="0.3">
      <c r="B105" s="44"/>
      <c r="C105" s="44"/>
      <c r="D105" s="1"/>
    </row>
    <row r="106" spans="2:4" ht="15.75" thickBot="1" x14ac:dyDescent="0.3">
      <c r="B106" s="52" t="s">
        <v>77</v>
      </c>
      <c r="C106" s="53"/>
      <c r="D106" s="37"/>
    </row>
    <row r="107" spans="2:4" ht="15.75" thickBot="1" x14ac:dyDescent="0.3">
      <c r="B107" s="54" t="s">
        <v>78</v>
      </c>
      <c r="C107" s="55">
        <v>27</v>
      </c>
      <c r="D107" s="37"/>
    </row>
    <row r="108" spans="2:4" ht="15.75" thickBot="1" x14ac:dyDescent="0.3">
      <c r="B108" s="47" t="s">
        <v>79</v>
      </c>
      <c r="C108" s="56">
        <v>1</v>
      </c>
      <c r="D108" s="37"/>
    </row>
    <row r="109" spans="2:4" ht="15.75" thickBot="1" x14ac:dyDescent="0.3">
      <c r="B109" s="47" t="s">
        <v>124</v>
      </c>
      <c r="C109" s="56">
        <v>5</v>
      </c>
      <c r="D109" s="37"/>
    </row>
    <row r="110" spans="2:4" ht="15.75" thickBot="1" x14ac:dyDescent="0.3">
      <c r="B110" s="47" t="s">
        <v>123</v>
      </c>
      <c r="C110" s="56">
        <v>1</v>
      </c>
      <c r="D110" s="37"/>
    </row>
    <row r="111" spans="2:4" ht="15.75" thickBot="1" x14ac:dyDescent="0.3">
      <c r="B111" s="47" t="s">
        <v>80</v>
      </c>
      <c r="C111" s="56">
        <v>2</v>
      </c>
      <c r="D111" s="37"/>
    </row>
    <row r="112" spans="2:4" ht="15.75" thickBot="1" x14ac:dyDescent="0.3">
      <c r="B112" s="47" t="s">
        <v>82</v>
      </c>
      <c r="C112" s="56">
        <v>0</v>
      </c>
      <c r="D112" s="37"/>
    </row>
    <row r="113" spans="2:4" ht="15.75" thickBot="1" x14ac:dyDescent="0.3">
      <c r="B113" s="49" t="s">
        <v>16</v>
      </c>
      <c r="C113" s="50">
        <f>SUM(C107:C112)</f>
        <v>36</v>
      </c>
      <c r="D113" s="37"/>
    </row>
    <row r="114" spans="2:4" ht="15.75" thickBot="1" x14ac:dyDescent="0.3">
      <c r="B114" s="51"/>
      <c r="C114" s="51"/>
      <c r="D114" s="1"/>
    </row>
    <row r="210" spans="2:5" x14ac:dyDescent="0.25">
      <c r="E210" s="57">
        <v>45108</v>
      </c>
    </row>
    <row r="211" spans="2:5" ht="15.75" thickBot="1" x14ac:dyDescent="0.3"/>
    <row r="212" spans="2:5" ht="15.75" thickBot="1" x14ac:dyDescent="0.3">
      <c r="B212" s="1"/>
      <c r="C212" s="1"/>
      <c r="D212" s="1"/>
    </row>
    <row r="213" spans="2:5" ht="15.75" thickBot="1" x14ac:dyDescent="0.3">
      <c r="B213" s="2"/>
      <c r="C213" s="2"/>
      <c r="D213" s="1"/>
    </row>
    <row r="214" spans="2:5" ht="15.75" thickBot="1" x14ac:dyDescent="0.3">
      <c r="B214" s="58" t="s">
        <v>50</v>
      </c>
      <c r="C214" s="4"/>
      <c r="D214" s="1"/>
    </row>
    <row r="215" spans="2:5" ht="15.75" thickBot="1" x14ac:dyDescent="0.3">
      <c r="B215" s="59" t="s">
        <v>86</v>
      </c>
      <c r="C215" s="7"/>
      <c r="D215" s="1"/>
    </row>
    <row r="216" spans="2:5" ht="15.75" thickBot="1" x14ac:dyDescent="0.3">
      <c r="B216" s="59" t="s">
        <v>87</v>
      </c>
      <c r="C216" s="7"/>
      <c r="D216" s="1"/>
    </row>
    <row r="217" spans="2:5" ht="15.75" thickBot="1" x14ac:dyDescent="0.3">
      <c r="B217" s="60" t="s">
        <v>88</v>
      </c>
      <c r="C217" s="9"/>
      <c r="D217" s="1"/>
    </row>
    <row r="218" spans="2:5" ht="15.75" thickBot="1" x14ac:dyDescent="0.3">
      <c r="B218" s="61"/>
      <c r="C218" s="1"/>
      <c r="D218" s="1"/>
    </row>
    <row r="219" spans="2:5" ht="15.75" thickBot="1" x14ac:dyDescent="0.3">
      <c r="B219" s="62"/>
      <c r="C219" s="2"/>
      <c r="D219" s="1"/>
    </row>
    <row r="220" spans="2:5" ht="15.75" thickBot="1" x14ac:dyDescent="0.3">
      <c r="B220" s="63" t="s">
        <v>51</v>
      </c>
      <c r="C220" s="4"/>
      <c r="D220" s="1"/>
    </row>
    <row r="221" spans="2:5" ht="15.75" thickBot="1" x14ac:dyDescent="0.3">
      <c r="B221" s="59" t="s">
        <v>52</v>
      </c>
      <c r="C221" s="7"/>
      <c r="D221" s="1"/>
    </row>
    <row r="222" spans="2:5" ht="15.75" thickBot="1" x14ac:dyDescent="0.3">
      <c r="B222" s="59" t="s">
        <v>89</v>
      </c>
      <c r="C222" s="7"/>
      <c r="D222" s="1"/>
    </row>
    <row r="223" spans="2:5" ht="15.75" thickBot="1" x14ac:dyDescent="0.3">
      <c r="B223" s="59" t="s">
        <v>90</v>
      </c>
      <c r="C223" s="7"/>
      <c r="D223" s="1"/>
    </row>
    <row r="224" spans="2:5" ht="15.75" thickBot="1" x14ac:dyDescent="0.3">
      <c r="B224" s="59" t="s">
        <v>91</v>
      </c>
      <c r="C224" s="7"/>
      <c r="D224" s="1"/>
    </row>
    <row r="225" spans="2:4" ht="15.75" thickBot="1" x14ac:dyDescent="0.3">
      <c r="B225" s="59" t="s">
        <v>92</v>
      </c>
      <c r="C225" s="7"/>
      <c r="D225" s="1"/>
    </row>
    <row r="226" spans="2:4" ht="15.75" thickBot="1" x14ac:dyDescent="0.3">
      <c r="B226" s="59" t="s">
        <v>93</v>
      </c>
      <c r="C226" s="7"/>
      <c r="D226" s="1"/>
    </row>
    <row r="227" spans="2:4" ht="15.75" thickBot="1" x14ac:dyDescent="0.3">
      <c r="B227" s="59" t="s">
        <v>94</v>
      </c>
      <c r="C227" s="7"/>
      <c r="D227" s="1"/>
    </row>
    <row r="228" spans="2:4" ht="15.75" thickBot="1" x14ac:dyDescent="0.3">
      <c r="B228" s="59" t="s">
        <v>95</v>
      </c>
      <c r="C228" s="7"/>
      <c r="D228" s="1"/>
    </row>
    <row r="229" spans="2:4" ht="15.75" thickBot="1" x14ac:dyDescent="0.3">
      <c r="B229" s="59" t="s">
        <v>96</v>
      </c>
      <c r="C229" s="7"/>
      <c r="D229" s="1"/>
    </row>
    <row r="230" spans="2:4" ht="15.75" thickBot="1" x14ac:dyDescent="0.3">
      <c r="B230" s="59" t="s">
        <v>97</v>
      </c>
      <c r="C230" s="7"/>
      <c r="D230" s="1"/>
    </row>
    <row r="231" spans="2:4" ht="15.75" thickBot="1" x14ac:dyDescent="0.3">
      <c r="B231" s="59" t="s">
        <v>98</v>
      </c>
      <c r="C231" s="7"/>
      <c r="D231" s="1"/>
    </row>
    <row r="232" spans="2:4" ht="15.75" thickBot="1" x14ac:dyDescent="0.3">
      <c r="B232" s="59" t="s">
        <v>99</v>
      </c>
      <c r="C232" s="7"/>
      <c r="D232" s="1"/>
    </row>
    <row r="233" spans="2:4" ht="15.75" thickBot="1" x14ac:dyDescent="0.3">
      <c r="B233" s="59" t="s">
        <v>100</v>
      </c>
      <c r="C233" s="7"/>
      <c r="D233" s="1"/>
    </row>
    <row r="234" spans="2:4" ht="15.75" thickBot="1" x14ac:dyDescent="0.3">
      <c r="B234" s="59" t="s">
        <v>101</v>
      </c>
      <c r="C234" s="7"/>
      <c r="D234" s="1"/>
    </row>
    <row r="235" spans="2:4" ht="15.75" thickBot="1" x14ac:dyDescent="0.3">
      <c r="B235" s="59" t="s">
        <v>102</v>
      </c>
      <c r="C235" s="7"/>
      <c r="D235" s="1"/>
    </row>
    <row r="236" spans="2:4" ht="15.75" thickBot="1" x14ac:dyDescent="0.3">
      <c r="B236" s="59" t="s">
        <v>53</v>
      </c>
      <c r="C236" s="7"/>
      <c r="D236" s="1"/>
    </row>
    <row r="237" spans="2:4" ht="15.75" thickBot="1" x14ac:dyDescent="0.3">
      <c r="B237" s="60" t="s">
        <v>16</v>
      </c>
      <c r="C237" s="9"/>
      <c r="D237" s="1"/>
    </row>
    <row r="238" spans="2:4" ht="15.75" thickBot="1" x14ac:dyDescent="0.3">
      <c r="B238" s="61"/>
      <c r="C238" s="1"/>
      <c r="D238" s="1"/>
    </row>
    <row r="239" spans="2:4" ht="15.75" thickBot="1" x14ac:dyDescent="0.3">
      <c r="B239" s="64"/>
      <c r="C239" s="43"/>
      <c r="D239" s="1"/>
    </row>
    <row r="240" spans="2:4" ht="15.75" thickBot="1" x14ac:dyDescent="0.3">
      <c r="B240" s="64"/>
      <c r="C240" s="43"/>
      <c r="D240" s="1"/>
    </row>
    <row r="241" spans="2:4" ht="15.75" thickBot="1" x14ac:dyDescent="0.3">
      <c r="B241" s="41" t="s">
        <v>54</v>
      </c>
      <c r="C241" s="42"/>
      <c r="D241" s="37"/>
    </row>
    <row r="242" spans="2:4" ht="15.75" thickBot="1" x14ac:dyDescent="0.3">
      <c r="B242" s="65" t="s">
        <v>39</v>
      </c>
      <c r="C242" s="40"/>
      <c r="D242" s="1"/>
    </row>
    <row r="243" spans="2:4" ht="15.75" thickBot="1" x14ac:dyDescent="0.3">
      <c r="B243" s="59" t="s">
        <v>1</v>
      </c>
      <c r="C243" s="7"/>
      <c r="D243" s="1"/>
    </row>
    <row r="244" spans="2:4" ht="15.75" thickBot="1" x14ac:dyDescent="0.3">
      <c r="B244" s="59" t="s">
        <v>55</v>
      </c>
      <c r="C244" s="7"/>
      <c r="D244" s="1"/>
    </row>
    <row r="245" spans="2:4" ht="15.75" thickBot="1" x14ac:dyDescent="0.3">
      <c r="B245" s="59" t="s">
        <v>56</v>
      </c>
      <c r="C245" s="7"/>
      <c r="D245" s="1"/>
    </row>
    <row r="246" spans="2:4" ht="15.75" thickBot="1" x14ac:dyDescent="0.3">
      <c r="B246" s="59" t="s">
        <v>18</v>
      </c>
      <c r="C246" s="7"/>
      <c r="D246" s="1"/>
    </row>
    <row r="247" spans="2:4" ht="15.75" thickBot="1" x14ac:dyDescent="0.3">
      <c r="B247" s="59" t="s">
        <v>14</v>
      </c>
      <c r="C247" s="7"/>
      <c r="D247" s="1"/>
    </row>
    <row r="248" spans="2:4" ht="15.75" thickBot="1" x14ac:dyDescent="0.3">
      <c r="B248" s="59" t="s">
        <v>15</v>
      </c>
      <c r="C248" s="7"/>
      <c r="D248" s="1"/>
    </row>
    <row r="249" spans="2:4" ht="15.75" thickBot="1" x14ac:dyDescent="0.3">
      <c r="B249" s="59" t="s">
        <v>37</v>
      </c>
      <c r="C249" s="7"/>
      <c r="D249" s="1"/>
    </row>
    <row r="250" spans="2:4" ht="15.75" thickBot="1" x14ac:dyDescent="0.3">
      <c r="B250" s="59" t="s">
        <v>57</v>
      </c>
      <c r="C250" s="7"/>
      <c r="D250" s="1"/>
    </row>
    <row r="251" spans="2:4" ht="15.75" thickBot="1" x14ac:dyDescent="0.3">
      <c r="B251" s="60" t="s">
        <v>16</v>
      </c>
      <c r="C251" s="9"/>
      <c r="D251" s="1"/>
    </row>
    <row r="252" spans="2:4" ht="15.75" thickBot="1" x14ac:dyDescent="0.3">
      <c r="B252" s="61"/>
      <c r="C252" s="1"/>
      <c r="D252" s="1"/>
    </row>
    <row r="253" spans="2:4" ht="15.75" thickBot="1" x14ac:dyDescent="0.3">
      <c r="B253" s="62"/>
      <c r="C253" s="2"/>
      <c r="D253" s="1"/>
    </row>
    <row r="254" spans="2:4" ht="15.75" thickBot="1" x14ac:dyDescent="0.3">
      <c r="B254" s="63" t="s">
        <v>58</v>
      </c>
      <c r="C254" s="4"/>
      <c r="D254" s="1"/>
    </row>
    <row r="255" spans="2:4" ht="15.75" thickBot="1" x14ac:dyDescent="0.3">
      <c r="B255" s="59" t="s">
        <v>59</v>
      </c>
      <c r="C255" s="8"/>
      <c r="D255" s="1"/>
    </row>
    <row r="256" spans="2:4" ht="15.75" thickBot="1" x14ac:dyDescent="0.3">
      <c r="B256" s="59" t="s">
        <v>60</v>
      </c>
      <c r="C256" s="8"/>
      <c r="D256" s="1"/>
    </row>
    <row r="257" spans="2:4" ht="15.75" thickBot="1" x14ac:dyDescent="0.3">
      <c r="B257" s="59" t="s">
        <v>61</v>
      </c>
      <c r="C257" s="8"/>
      <c r="D257" s="1"/>
    </row>
    <row r="258" spans="2:4" ht="15.75" thickBot="1" x14ac:dyDescent="0.3">
      <c r="B258" s="59" t="s">
        <v>62</v>
      </c>
      <c r="C258" s="8"/>
      <c r="D258" s="1"/>
    </row>
    <row r="259" spans="2:4" ht="15.75" thickBot="1" x14ac:dyDescent="0.3">
      <c r="B259" s="59" t="s">
        <v>63</v>
      </c>
      <c r="C259" s="8"/>
      <c r="D259" s="1"/>
    </row>
    <row r="260" spans="2:4" ht="15.75" thickBot="1" x14ac:dyDescent="0.3">
      <c r="B260" s="59" t="s">
        <v>64</v>
      </c>
      <c r="C260" s="8"/>
      <c r="D260" s="1"/>
    </row>
    <row r="261" spans="2:4" ht="15.75" thickBot="1" x14ac:dyDescent="0.3">
      <c r="B261" s="60" t="s">
        <v>16</v>
      </c>
      <c r="C261" s="9"/>
      <c r="D261" s="1"/>
    </row>
    <row r="262" spans="2:4" ht="15.75" thickBot="1" x14ac:dyDescent="0.3">
      <c r="B262" s="61"/>
      <c r="C262" s="1"/>
      <c r="D262" s="1"/>
    </row>
    <row r="263" spans="2:4" ht="15.75" thickBot="1" x14ac:dyDescent="0.3">
      <c r="B263" s="61"/>
      <c r="C263" s="1"/>
      <c r="D263" s="1"/>
    </row>
    <row r="264" spans="2:4" ht="15.75" thickBot="1" x14ac:dyDescent="0.3">
      <c r="B264" s="62"/>
      <c r="C264" s="2"/>
      <c r="D264" s="1"/>
    </row>
    <row r="265" spans="2:4" ht="15.75" thickBot="1" x14ac:dyDescent="0.3">
      <c r="B265" s="63" t="s">
        <v>65</v>
      </c>
      <c r="C265" s="4"/>
      <c r="D265" s="1"/>
    </row>
    <row r="266" spans="2:4" ht="15.75" thickBot="1" x14ac:dyDescent="0.3">
      <c r="B266" s="59" t="s">
        <v>66</v>
      </c>
      <c r="C266" s="7"/>
      <c r="D266" s="1"/>
    </row>
    <row r="267" spans="2:4" ht="15.75" thickBot="1" x14ac:dyDescent="0.3">
      <c r="B267" s="59" t="s">
        <v>67</v>
      </c>
      <c r="C267" s="7"/>
      <c r="D267" s="1"/>
    </row>
    <row r="268" spans="2:4" ht="15.75" thickBot="1" x14ac:dyDescent="0.3">
      <c r="B268" s="59" t="s">
        <v>68</v>
      </c>
      <c r="C268" s="7"/>
      <c r="D268" s="1"/>
    </row>
    <row r="269" spans="2:4" ht="15.75" thickBot="1" x14ac:dyDescent="0.3">
      <c r="B269" s="59" t="s">
        <v>69</v>
      </c>
      <c r="C269" s="7"/>
      <c r="D269" s="1"/>
    </row>
    <row r="270" spans="2:4" ht="15.75" thickBot="1" x14ac:dyDescent="0.3">
      <c r="B270" s="60" t="s">
        <v>16</v>
      </c>
      <c r="C270" s="9"/>
      <c r="D270" s="1"/>
    </row>
    <row r="271" spans="2:4" ht="15.75" thickBot="1" x14ac:dyDescent="0.3">
      <c r="B271" s="61"/>
      <c r="C271" s="1"/>
      <c r="D271" s="1"/>
    </row>
    <row r="272" spans="2:4" ht="15.75" thickBot="1" x14ac:dyDescent="0.3">
      <c r="B272" s="61"/>
      <c r="C272" s="1"/>
      <c r="D272" s="1"/>
    </row>
    <row r="273" spans="2:4" ht="15.75" thickBot="1" x14ac:dyDescent="0.3">
      <c r="B273" s="61"/>
      <c r="C273" s="1"/>
      <c r="D273" s="1"/>
    </row>
    <row r="274" spans="2:4" ht="15.75" thickBot="1" x14ac:dyDescent="0.3">
      <c r="B274" s="62"/>
      <c r="C274" s="2"/>
      <c r="D274" s="1"/>
    </row>
    <row r="275" spans="2:4" ht="15.75" thickBot="1" x14ac:dyDescent="0.3">
      <c r="B275" s="63" t="s">
        <v>42</v>
      </c>
      <c r="C275" s="4"/>
      <c r="D275" s="1"/>
    </row>
    <row r="276" spans="2:4" ht="15.75" thickBot="1" x14ac:dyDescent="0.3">
      <c r="B276" s="59" t="s">
        <v>70</v>
      </c>
      <c r="C276" s="8"/>
      <c r="D276" s="1"/>
    </row>
    <row r="277" spans="2:4" ht="15.75" thickBot="1" x14ac:dyDescent="0.3">
      <c r="B277" s="59" t="s">
        <v>71</v>
      </c>
      <c r="C277" s="8"/>
      <c r="D277" s="1"/>
    </row>
    <row r="278" spans="2:4" ht="15.75" thickBot="1" x14ac:dyDescent="0.3">
      <c r="B278" s="59" t="s">
        <v>72</v>
      </c>
      <c r="C278" s="8"/>
      <c r="D278" s="1"/>
    </row>
    <row r="279" spans="2:4" ht="15.75" thickBot="1" x14ac:dyDescent="0.3">
      <c r="B279" s="59" t="s">
        <v>47</v>
      </c>
      <c r="C279" s="8"/>
      <c r="D279" s="1"/>
    </row>
    <row r="280" spans="2:4" ht="15.75" thickBot="1" x14ac:dyDescent="0.3">
      <c r="B280" s="59" t="s">
        <v>73</v>
      </c>
      <c r="C280" s="8"/>
      <c r="D280" s="1"/>
    </row>
    <row r="281" spans="2:4" ht="15.75" thickBot="1" x14ac:dyDescent="0.3">
      <c r="B281" s="59" t="s">
        <v>74</v>
      </c>
      <c r="C281" s="8"/>
      <c r="D281" s="1"/>
    </row>
    <row r="282" spans="2:4" ht="30.75" thickBot="1" x14ac:dyDescent="0.3">
      <c r="B282" s="59" t="s">
        <v>75</v>
      </c>
      <c r="C282" s="8"/>
      <c r="D282" s="1"/>
    </row>
    <row r="283" spans="2:4" ht="15.75" thickBot="1" x14ac:dyDescent="0.3">
      <c r="B283" s="59" t="s">
        <v>76</v>
      </c>
      <c r="C283" s="8"/>
      <c r="D283" s="1"/>
    </row>
    <row r="284" spans="2:4" ht="15.75" thickBot="1" x14ac:dyDescent="0.3">
      <c r="B284" s="59" t="s">
        <v>83</v>
      </c>
      <c r="C284" s="8"/>
      <c r="D284" s="1"/>
    </row>
    <row r="285" spans="2:4" ht="15.75" thickBot="1" x14ac:dyDescent="0.3">
      <c r="B285" s="59" t="s">
        <v>84</v>
      </c>
      <c r="C285" s="8"/>
      <c r="D285" s="1"/>
    </row>
    <row r="286" spans="2:4" ht="15.75" thickBot="1" x14ac:dyDescent="0.3">
      <c r="B286" s="59" t="s">
        <v>85</v>
      </c>
      <c r="C286" s="8"/>
      <c r="D286" s="1"/>
    </row>
    <row r="287" spans="2:4" ht="15.75" thickBot="1" x14ac:dyDescent="0.3">
      <c r="B287" s="60" t="s">
        <v>16</v>
      </c>
      <c r="C287" s="9"/>
      <c r="D287" s="1"/>
    </row>
    <row r="288" spans="2:4" ht="15.75" thickBot="1" x14ac:dyDescent="0.3">
      <c r="B288" s="66"/>
      <c r="C288" s="38"/>
      <c r="D288" s="1"/>
    </row>
    <row r="289" spans="2:4" ht="15.75" thickBot="1" x14ac:dyDescent="0.3">
      <c r="B289" s="41" t="s">
        <v>77</v>
      </c>
      <c r="C289" s="42"/>
      <c r="D289" s="37"/>
    </row>
    <row r="290" spans="2:4" ht="15.75" thickBot="1" x14ac:dyDescent="0.3">
      <c r="B290" s="65" t="s">
        <v>78</v>
      </c>
      <c r="C290" s="40"/>
      <c r="D290" s="1"/>
    </row>
    <row r="291" spans="2:4" ht="15.75" thickBot="1" x14ac:dyDescent="0.3">
      <c r="B291" s="59" t="s">
        <v>79</v>
      </c>
      <c r="C291" s="7"/>
      <c r="D291" s="1"/>
    </row>
    <row r="292" spans="2:4" ht="15.75" thickBot="1" x14ac:dyDescent="0.3">
      <c r="B292" s="59" t="s">
        <v>81</v>
      </c>
      <c r="C292" s="7"/>
      <c r="D292" s="1"/>
    </row>
    <row r="293" spans="2:4" ht="15.75" thickBot="1" x14ac:dyDescent="0.3">
      <c r="B293" s="59" t="s">
        <v>80</v>
      </c>
      <c r="C293" s="7"/>
      <c r="D293" s="1"/>
    </row>
    <row r="294" spans="2:4" ht="15.75" thickBot="1" x14ac:dyDescent="0.3">
      <c r="B294" s="59" t="s">
        <v>82</v>
      </c>
      <c r="C294" s="7"/>
      <c r="D294" s="1"/>
    </row>
    <row r="295" spans="2:4" ht="15.75" thickBot="1" x14ac:dyDescent="0.3">
      <c r="B295" s="60" t="s">
        <v>16</v>
      </c>
      <c r="C295" s="9"/>
      <c r="D295" s="1"/>
    </row>
    <row r="296" spans="2:4" ht="15.75" thickBot="1" x14ac:dyDescent="0.3">
      <c r="B296" s="1"/>
      <c r="C296" s="1"/>
      <c r="D296" s="1"/>
    </row>
    <row r="297" spans="2:4" ht="15.75" thickBot="1" x14ac:dyDescent="0.3">
      <c r="B297" s="2"/>
      <c r="C297" s="2"/>
      <c r="D297" s="1"/>
    </row>
    <row r="298" spans="2:4" ht="15.75" thickBot="1" x14ac:dyDescent="0.3">
      <c r="B298" s="5" t="s">
        <v>0</v>
      </c>
      <c r="C298" s="4" t="s">
        <v>18</v>
      </c>
      <c r="D298" s="1"/>
    </row>
    <row r="299" spans="2:4" ht="15.75" thickBot="1" x14ac:dyDescent="0.3">
      <c r="B299" s="6" t="s">
        <v>2</v>
      </c>
      <c r="C299" s="8">
        <v>0</v>
      </c>
      <c r="D299" s="1"/>
    </row>
    <row r="300" spans="2:4" ht="15.75" thickBot="1" x14ac:dyDescent="0.3">
      <c r="B300" s="6" t="s">
        <v>3</v>
      </c>
      <c r="C300" s="8">
        <v>0</v>
      </c>
      <c r="D300" s="1"/>
    </row>
    <row r="301" spans="2:4" ht="15.75" thickBot="1" x14ac:dyDescent="0.3">
      <c r="B301" s="6" t="s">
        <v>4</v>
      </c>
      <c r="C301" s="8">
        <v>18</v>
      </c>
      <c r="D301" s="1"/>
    </row>
    <row r="302" spans="2:4" ht="15.75" thickBot="1" x14ac:dyDescent="0.3">
      <c r="B302" s="6" t="s">
        <v>5</v>
      </c>
      <c r="C302" s="8">
        <v>4</v>
      </c>
      <c r="D302" s="1"/>
    </row>
    <row r="303" spans="2:4" ht="15.75" thickBot="1" x14ac:dyDescent="0.3">
      <c r="B303" s="6" t="s">
        <v>6</v>
      </c>
      <c r="C303" s="8">
        <v>1</v>
      </c>
      <c r="D303" s="1"/>
    </row>
    <row r="304" spans="2:4" ht="15.75" thickBot="1" x14ac:dyDescent="0.3">
      <c r="B304" s="6" t="s">
        <v>7</v>
      </c>
      <c r="C304" s="8">
        <v>67</v>
      </c>
      <c r="D304" s="1"/>
    </row>
    <row r="305" spans="2:4" ht="15.75" thickBot="1" x14ac:dyDescent="0.3">
      <c r="B305" s="6" t="s">
        <v>8</v>
      </c>
      <c r="C305" s="8">
        <v>29</v>
      </c>
      <c r="D305" s="1"/>
    </row>
    <row r="306" spans="2:4" ht="15.75" thickBot="1" x14ac:dyDescent="0.3">
      <c r="B306" s="6" t="s">
        <v>9</v>
      </c>
      <c r="C306" s="7">
        <v>11</v>
      </c>
      <c r="D306" s="1"/>
    </row>
    <row r="307" spans="2:4" ht="15.75" thickBot="1" x14ac:dyDescent="0.3">
      <c r="B307" s="6" t="s">
        <v>10</v>
      </c>
      <c r="C307" s="7">
        <v>10</v>
      </c>
      <c r="D307" s="1"/>
    </row>
    <row r="308" spans="2:4" ht="15.75" thickBot="1" x14ac:dyDescent="0.3">
      <c r="B308" s="6" t="s">
        <v>11</v>
      </c>
      <c r="C308" s="7">
        <v>6</v>
      </c>
      <c r="D308" s="1"/>
    </row>
    <row r="309" spans="2:4" ht="15.75" thickBot="1" x14ac:dyDescent="0.3">
      <c r="B309" s="6" t="s">
        <v>12</v>
      </c>
      <c r="C309" s="7">
        <v>7</v>
      </c>
      <c r="D309" s="1"/>
    </row>
    <row r="310" spans="2:4" ht="15.75" thickBot="1" x14ac:dyDescent="0.3">
      <c r="B310" s="9" t="s">
        <v>16</v>
      </c>
      <c r="C310" s="9">
        <v>153</v>
      </c>
      <c r="D310" s="1"/>
    </row>
    <row r="311" spans="2:4" ht="15.75" thickBot="1" x14ac:dyDescent="0.3">
      <c r="B311" s="1"/>
      <c r="C311" s="1"/>
      <c r="D311" s="1"/>
    </row>
    <row r="312" spans="2:4" ht="15.75" thickBot="1" x14ac:dyDescent="0.3">
      <c r="B312" s="1"/>
      <c r="C312" s="1"/>
      <c r="D312" s="1"/>
    </row>
    <row r="313" spans="2:4" ht="15.75" thickBot="1" x14ac:dyDescent="0.3">
      <c r="B313" s="1"/>
      <c r="C313" s="1"/>
      <c r="D313" s="1"/>
    </row>
    <row r="314" spans="2:4" ht="15.75" thickBot="1" x14ac:dyDescent="0.3">
      <c r="B314" s="2"/>
      <c r="C314" s="2"/>
      <c r="D314" s="1"/>
    </row>
    <row r="315" spans="2:4" ht="15.75" thickBot="1" x14ac:dyDescent="0.3">
      <c r="B315" s="5" t="s">
        <v>0</v>
      </c>
      <c r="C315" s="4" t="s">
        <v>19</v>
      </c>
      <c r="D315" s="1"/>
    </row>
    <row r="316" spans="2:4" ht="15.75" thickBot="1" x14ac:dyDescent="0.3">
      <c r="B316" s="6" t="s">
        <v>4</v>
      </c>
      <c r="C316" s="7">
        <v>1</v>
      </c>
      <c r="D316" s="1"/>
    </row>
    <row r="317" spans="2:4" ht="15.75" thickBot="1" x14ac:dyDescent="0.3">
      <c r="B317" s="6" t="s">
        <v>5</v>
      </c>
      <c r="C317" s="7">
        <v>0</v>
      </c>
      <c r="D317" s="1"/>
    </row>
    <row r="318" spans="2:4" ht="15.75" thickBot="1" x14ac:dyDescent="0.3">
      <c r="B318" s="6" t="s">
        <v>6</v>
      </c>
      <c r="C318" s="7">
        <v>0</v>
      </c>
      <c r="D318" s="1"/>
    </row>
    <row r="319" spans="2:4" ht="15.75" thickBot="1" x14ac:dyDescent="0.3">
      <c r="B319" s="6" t="s">
        <v>7</v>
      </c>
      <c r="C319" s="7">
        <v>18</v>
      </c>
      <c r="D319" s="1"/>
    </row>
    <row r="320" spans="2:4" ht="15.75" thickBot="1" x14ac:dyDescent="0.3">
      <c r="B320" s="6" t="s">
        <v>8</v>
      </c>
      <c r="C320" s="7">
        <v>79</v>
      </c>
      <c r="D320" s="1"/>
    </row>
    <row r="321" spans="2:4" ht="15.75" thickBot="1" x14ac:dyDescent="0.3">
      <c r="B321" s="6" t="s">
        <v>9</v>
      </c>
      <c r="C321" s="7">
        <v>3</v>
      </c>
      <c r="D321" s="1"/>
    </row>
    <row r="322" spans="2:4" ht="15.75" thickBot="1" x14ac:dyDescent="0.3">
      <c r="B322" s="6" t="s">
        <v>11</v>
      </c>
      <c r="C322" s="7">
        <v>0</v>
      </c>
      <c r="D322" s="1"/>
    </row>
    <row r="323" spans="2:4" ht="15.75" thickBot="1" x14ac:dyDescent="0.3">
      <c r="B323" s="9" t="s">
        <v>16</v>
      </c>
      <c r="C323" s="9">
        <v>101</v>
      </c>
      <c r="D323" s="1"/>
    </row>
    <row r="324" spans="2:4" ht="15.75" thickBot="1" x14ac:dyDescent="0.3">
      <c r="B324" s="1"/>
      <c r="C324" s="1"/>
      <c r="D324" s="1"/>
    </row>
    <row r="325" spans="2:4" ht="15.75" thickBot="1" x14ac:dyDescent="0.3">
      <c r="B325" s="1"/>
      <c r="C325" s="1"/>
      <c r="D325" s="1"/>
    </row>
    <row r="326" spans="2:4" ht="15.75" thickBot="1" x14ac:dyDescent="0.3">
      <c r="B326" s="1"/>
      <c r="C326" s="1"/>
      <c r="D326" s="1"/>
    </row>
    <row r="327" spans="2:4" ht="15.75" thickBot="1" x14ac:dyDescent="0.3">
      <c r="B327" s="1"/>
      <c r="C327" s="1"/>
      <c r="D327" s="1"/>
    </row>
    <row r="328" spans="2:4" ht="15.75" thickBot="1" x14ac:dyDescent="0.3">
      <c r="B328" s="1"/>
      <c r="C328" s="1"/>
      <c r="D328" s="1"/>
    </row>
    <row r="329" spans="2:4" ht="15.75" thickBot="1" x14ac:dyDescent="0.3">
      <c r="B329" s="1"/>
      <c r="C329" s="1"/>
      <c r="D329" s="1"/>
    </row>
    <row r="330" spans="2:4" ht="15.75" thickBot="1" x14ac:dyDescent="0.3">
      <c r="B330" s="1"/>
      <c r="C330" s="1"/>
      <c r="D330" s="1"/>
    </row>
    <row r="331" spans="2:4" ht="15.75" thickBot="1" x14ac:dyDescent="0.3">
      <c r="B331" s="1"/>
      <c r="C331" s="1"/>
      <c r="D331" s="1"/>
    </row>
    <row r="332" spans="2:4" ht="15.75" thickBot="1" x14ac:dyDescent="0.3">
      <c r="B332" s="2"/>
      <c r="C332" s="2"/>
      <c r="D332" s="1"/>
    </row>
    <row r="333" spans="2:4" ht="15.75" thickBot="1" x14ac:dyDescent="0.3">
      <c r="B333" s="5" t="s">
        <v>0</v>
      </c>
      <c r="C333" s="5" t="s">
        <v>20</v>
      </c>
      <c r="D333" s="1"/>
    </row>
    <row r="334" spans="2:4" ht="15.75" thickBot="1" x14ac:dyDescent="0.3">
      <c r="B334" s="6" t="s">
        <v>2</v>
      </c>
      <c r="C334" s="7">
        <v>130</v>
      </c>
      <c r="D334" s="1"/>
    </row>
    <row r="335" spans="2:4" ht="15.75" thickBot="1" x14ac:dyDescent="0.3">
      <c r="B335" s="6" t="s">
        <v>3</v>
      </c>
      <c r="C335" s="7">
        <v>2</v>
      </c>
      <c r="D335" s="1"/>
    </row>
    <row r="336" spans="2:4" ht="15.75" thickBot="1" x14ac:dyDescent="0.3">
      <c r="B336" s="6" t="s">
        <v>4</v>
      </c>
      <c r="C336" s="7">
        <v>454</v>
      </c>
      <c r="D336" s="1"/>
    </row>
    <row r="337" spans="2:4" ht="15.75" thickBot="1" x14ac:dyDescent="0.3">
      <c r="B337" s="6" t="s">
        <v>5</v>
      </c>
      <c r="C337" s="7">
        <v>327</v>
      </c>
      <c r="D337" s="1"/>
    </row>
    <row r="338" spans="2:4" ht="15.75" thickBot="1" x14ac:dyDescent="0.3">
      <c r="B338" s="6" t="s">
        <v>6</v>
      </c>
      <c r="C338" s="7">
        <v>67</v>
      </c>
      <c r="D338" s="1"/>
    </row>
    <row r="339" spans="2:4" ht="15.75" thickBot="1" x14ac:dyDescent="0.3">
      <c r="B339" s="6" t="s">
        <v>7</v>
      </c>
      <c r="C339" s="7">
        <v>507</v>
      </c>
      <c r="D339" s="1"/>
    </row>
    <row r="340" spans="2:4" ht="15.75" thickBot="1" x14ac:dyDescent="0.3">
      <c r="B340" s="6" t="s">
        <v>8</v>
      </c>
      <c r="C340" s="7">
        <v>1128</v>
      </c>
      <c r="D340" s="1"/>
    </row>
    <row r="341" spans="2:4" ht="15.75" thickBot="1" x14ac:dyDescent="0.3">
      <c r="B341" s="6" t="s">
        <v>9</v>
      </c>
      <c r="C341" s="8">
        <v>381</v>
      </c>
      <c r="D341" s="1"/>
    </row>
    <row r="342" spans="2:4" ht="15.75" thickBot="1" x14ac:dyDescent="0.3">
      <c r="B342" s="6" t="s">
        <v>10</v>
      </c>
      <c r="C342" s="8">
        <v>10</v>
      </c>
      <c r="D342" s="1"/>
    </row>
    <row r="343" spans="2:4" ht="15.75" thickBot="1" x14ac:dyDescent="0.3">
      <c r="B343" s="6" t="s">
        <v>11</v>
      </c>
      <c r="C343" s="8">
        <v>6</v>
      </c>
      <c r="D343" s="1"/>
    </row>
    <row r="344" spans="2:4" ht="15.75" thickBot="1" x14ac:dyDescent="0.3">
      <c r="B344" s="6" t="s">
        <v>12</v>
      </c>
      <c r="C344" s="8">
        <v>16</v>
      </c>
      <c r="D344" s="1"/>
    </row>
    <row r="345" spans="2:4" ht="15.75" thickBot="1" x14ac:dyDescent="0.3">
      <c r="B345" s="9" t="s">
        <v>13</v>
      </c>
      <c r="C345" s="9">
        <v>3028</v>
      </c>
      <c r="D345" s="1"/>
    </row>
    <row r="346" spans="2:4" ht="15.75" thickBot="1" x14ac:dyDescent="0.3">
      <c r="B346" s="1"/>
      <c r="C346" s="1"/>
      <c r="D346" s="1"/>
    </row>
    <row r="347" spans="2:4" ht="15.75" thickBot="1" x14ac:dyDescent="0.3">
      <c r="B347" s="1"/>
      <c r="C347" s="1"/>
      <c r="D347" s="1"/>
    </row>
    <row r="348" spans="2:4" ht="15.75" thickBot="1" x14ac:dyDescent="0.3">
      <c r="B348" s="1"/>
      <c r="C348" s="1"/>
      <c r="D348" s="1"/>
    </row>
    <row r="349" spans="2:4" ht="15.75" thickBot="1" x14ac:dyDescent="0.3">
      <c r="B349" s="1"/>
      <c r="C349" s="1"/>
      <c r="D349" s="1"/>
    </row>
    <row r="350" spans="2:4" ht="15.75" thickBot="1" x14ac:dyDescent="0.3">
      <c r="B350" s="1"/>
      <c r="C350" s="1"/>
      <c r="D350" s="1"/>
    </row>
    <row r="351" spans="2:4" ht="15.75" thickBot="1" x14ac:dyDescent="0.3">
      <c r="B351" s="1"/>
      <c r="C351" s="1"/>
      <c r="D351" s="1"/>
    </row>
    <row r="352" spans="2:4" ht="15.75" thickBot="1" x14ac:dyDescent="0.3">
      <c r="B352" s="1"/>
      <c r="C352" s="1"/>
      <c r="D352" s="1"/>
    </row>
    <row r="353" spans="2:4" ht="15.75" thickBot="1" x14ac:dyDescent="0.3">
      <c r="B353" s="1"/>
      <c r="C353" s="1"/>
      <c r="D353" s="1"/>
    </row>
    <row r="354" spans="2:4" ht="15.75" thickBot="1" x14ac:dyDescent="0.3">
      <c r="B354" s="1"/>
      <c r="C354" s="2"/>
      <c r="D354" s="2"/>
    </row>
    <row r="355" spans="2:4" ht="26.25" thickBot="1" x14ac:dyDescent="0.3">
      <c r="B355" s="3"/>
      <c r="C355" s="11" t="s">
        <v>0</v>
      </c>
      <c r="D355" s="11">
        <v>2023</v>
      </c>
    </row>
    <row r="356" spans="2:4" ht="15.75" thickBot="1" x14ac:dyDescent="0.3">
      <c r="B356" s="3"/>
      <c r="C356" s="12" t="s">
        <v>2</v>
      </c>
      <c r="D356" s="13">
        <v>98</v>
      </c>
    </row>
    <row r="357" spans="2:4" ht="15.75" thickBot="1" x14ac:dyDescent="0.3">
      <c r="B357" s="3"/>
      <c r="C357" s="12" t="s">
        <v>3</v>
      </c>
      <c r="D357" s="13">
        <v>490</v>
      </c>
    </row>
    <row r="358" spans="2:4" ht="15.75" thickBot="1" x14ac:dyDescent="0.3">
      <c r="B358" s="3"/>
      <c r="C358" s="12" t="s">
        <v>4</v>
      </c>
      <c r="D358" s="13">
        <v>287</v>
      </c>
    </row>
    <row r="359" spans="2:4" ht="15.75" thickBot="1" x14ac:dyDescent="0.3">
      <c r="B359" s="3"/>
      <c r="C359" s="12" t="s">
        <v>5</v>
      </c>
      <c r="D359" s="13">
        <v>82</v>
      </c>
    </row>
    <row r="360" spans="2:4" ht="15.75" thickBot="1" x14ac:dyDescent="0.3">
      <c r="B360" s="3"/>
      <c r="C360" s="12" t="s">
        <v>6</v>
      </c>
      <c r="D360" s="13">
        <v>453</v>
      </c>
    </row>
    <row r="361" spans="2:4" ht="15.75" thickBot="1" x14ac:dyDescent="0.3">
      <c r="B361" s="3"/>
      <c r="C361" s="12" t="s">
        <v>7</v>
      </c>
      <c r="D361" s="13">
        <v>1065</v>
      </c>
    </row>
    <row r="362" spans="2:4" ht="15.75" thickBot="1" x14ac:dyDescent="0.3">
      <c r="B362" s="3"/>
      <c r="C362" s="12" t="s">
        <v>8</v>
      </c>
      <c r="D362" s="13">
        <v>383</v>
      </c>
    </row>
    <row r="363" spans="2:4" ht="15.75" thickBot="1" x14ac:dyDescent="0.3">
      <c r="B363" s="3"/>
      <c r="C363" s="12" t="s">
        <v>9</v>
      </c>
      <c r="D363" s="13">
        <v>15</v>
      </c>
    </row>
    <row r="364" spans="2:4" ht="15.75" thickBot="1" x14ac:dyDescent="0.3">
      <c r="B364" s="3"/>
      <c r="C364" s="12" t="s">
        <v>10</v>
      </c>
      <c r="D364" s="13">
        <v>10</v>
      </c>
    </row>
    <row r="365" spans="2:4" ht="15.75" thickBot="1" x14ac:dyDescent="0.3">
      <c r="B365" s="3"/>
      <c r="C365" s="12" t="s">
        <v>11</v>
      </c>
      <c r="D365" s="13">
        <v>19</v>
      </c>
    </row>
    <row r="366" spans="2:4" ht="15.75" thickBot="1" x14ac:dyDescent="0.3">
      <c r="B366" s="3"/>
      <c r="C366" s="12" t="s">
        <v>12</v>
      </c>
      <c r="D366" s="13">
        <v>0</v>
      </c>
    </row>
    <row r="367" spans="2:4" ht="26.25" thickBot="1" x14ac:dyDescent="0.3">
      <c r="B367" s="3"/>
      <c r="C367" s="11" t="s">
        <v>13</v>
      </c>
      <c r="D367" s="10">
        <v>2902</v>
      </c>
    </row>
    <row r="368" spans="2:4" ht="15.75" thickBot="1" x14ac:dyDescent="0.3">
      <c r="B368" s="1"/>
      <c r="C368" s="1"/>
      <c r="D368" s="1"/>
    </row>
    <row r="369" spans="2:4" ht="15.75" thickBot="1" x14ac:dyDescent="0.3">
      <c r="B369" s="1"/>
      <c r="C369" s="1"/>
      <c r="D369" s="1"/>
    </row>
    <row r="370" spans="2:4" ht="15.75" thickBot="1" x14ac:dyDescent="0.3">
      <c r="B370" s="1"/>
      <c r="C370" s="1"/>
      <c r="D370" s="1"/>
    </row>
    <row r="371" spans="2:4" ht="15.75" thickBot="1" x14ac:dyDescent="0.3">
      <c r="B371" s="1"/>
      <c r="C371" s="2"/>
      <c r="D371" s="2"/>
    </row>
    <row r="372" spans="2:4" ht="26.25" thickBot="1" x14ac:dyDescent="0.3">
      <c r="B372" s="3"/>
      <c r="C372" s="11" t="s">
        <v>0</v>
      </c>
      <c r="D372" s="11" t="s">
        <v>22</v>
      </c>
    </row>
    <row r="373" spans="2:4" ht="15.75" thickBot="1" x14ac:dyDescent="0.3">
      <c r="B373" s="3"/>
      <c r="C373" s="12" t="s">
        <v>2</v>
      </c>
      <c r="D373" s="13">
        <v>137</v>
      </c>
    </row>
    <row r="374" spans="2:4" ht="15.75" thickBot="1" x14ac:dyDescent="0.3">
      <c r="B374" s="3"/>
      <c r="C374" s="12" t="s">
        <v>3</v>
      </c>
      <c r="D374" s="13">
        <v>4</v>
      </c>
    </row>
    <row r="375" spans="2:4" ht="15.75" thickBot="1" x14ac:dyDescent="0.3">
      <c r="B375" s="3"/>
      <c r="C375" s="12" t="s">
        <v>23</v>
      </c>
      <c r="D375" s="13">
        <v>1</v>
      </c>
    </row>
    <row r="376" spans="2:4" ht="15.75" thickBot="1" x14ac:dyDescent="0.3">
      <c r="B376" s="3"/>
      <c r="C376" s="12" t="s">
        <v>4</v>
      </c>
      <c r="D376" s="13">
        <v>418</v>
      </c>
    </row>
    <row r="377" spans="2:4" ht="15.75" thickBot="1" x14ac:dyDescent="0.3">
      <c r="B377" s="3"/>
      <c r="C377" s="12" t="s">
        <v>5</v>
      </c>
      <c r="D377" s="13">
        <v>278</v>
      </c>
    </row>
    <row r="378" spans="2:4" ht="15.75" thickBot="1" x14ac:dyDescent="0.3">
      <c r="B378" s="3"/>
      <c r="C378" s="12" t="s">
        <v>6</v>
      </c>
      <c r="D378" s="13">
        <v>58</v>
      </c>
    </row>
    <row r="379" spans="2:4" ht="15.75" thickBot="1" x14ac:dyDescent="0.3">
      <c r="B379" s="3"/>
      <c r="C379" s="12" t="s">
        <v>7</v>
      </c>
      <c r="D379" s="13">
        <v>409</v>
      </c>
    </row>
    <row r="380" spans="2:4" ht="15.75" thickBot="1" x14ac:dyDescent="0.3">
      <c r="B380" s="3"/>
      <c r="C380" s="12" t="s">
        <v>8</v>
      </c>
      <c r="D380" s="13">
        <v>1100</v>
      </c>
    </row>
    <row r="381" spans="2:4" ht="15.75" thickBot="1" x14ac:dyDescent="0.3">
      <c r="B381" s="3"/>
      <c r="C381" s="12" t="s">
        <v>9</v>
      </c>
      <c r="D381" s="13">
        <v>457</v>
      </c>
    </row>
    <row r="382" spans="2:4" ht="15.75" thickBot="1" x14ac:dyDescent="0.3">
      <c r="B382" s="3"/>
      <c r="C382" s="12" t="s">
        <v>10</v>
      </c>
      <c r="D382" s="13">
        <v>26</v>
      </c>
    </row>
    <row r="383" spans="2:4" ht="15.75" thickBot="1" x14ac:dyDescent="0.3">
      <c r="B383" s="3"/>
      <c r="C383" s="12" t="s">
        <v>11</v>
      </c>
      <c r="D383" s="13">
        <v>3</v>
      </c>
    </row>
    <row r="384" spans="2:4" ht="15.75" thickBot="1" x14ac:dyDescent="0.3">
      <c r="B384" s="3"/>
      <c r="C384" s="12" t="s">
        <v>12</v>
      </c>
      <c r="D384" s="13">
        <v>24</v>
      </c>
    </row>
    <row r="385" spans="2:4" ht="26.25" thickBot="1" x14ac:dyDescent="0.3">
      <c r="B385" s="3"/>
      <c r="C385" s="11" t="s">
        <v>13</v>
      </c>
      <c r="D385" s="21">
        <v>2915</v>
      </c>
    </row>
    <row r="386" spans="2:4" ht="15.75" thickBot="1" x14ac:dyDescent="0.3">
      <c r="B386" s="1"/>
      <c r="C386" s="1"/>
      <c r="D386" s="1"/>
    </row>
    <row r="387" spans="2:4" ht="15.75" thickBot="1" x14ac:dyDescent="0.3">
      <c r="B387" s="1"/>
      <c r="C387" s="1"/>
      <c r="D387" s="1"/>
    </row>
    <row r="388" spans="2:4" ht="15.75" thickBot="1" x14ac:dyDescent="0.3">
      <c r="B388" s="1"/>
      <c r="C388" s="1"/>
      <c r="D388" s="1"/>
    </row>
    <row r="389" spans="2:4" ht="15.75" thickBot="1" x14ac:dyDescent="0.3">
      <c r="B389" s="1"/>
      <c r="C389" s="1"/>
      <c r="D389" s="1"/>
    </row>
    <row r="390" spans="2:4" ht="15.75" thickBot="1" x14ac:dyDescent="0.3">
      <c r="B390" s="1"/>
      <c r="C390" s="1"/>
      <c r="D390" s="1"/>
    </row>
    <row r="391" spans="2:4" ht="15.75" thickBot="1" x14ac:dyDescent="0.3">
      <c r="B391" s="1"/>
      <c r="C391" s="1"/>
      <c r="D391" s="1"/>
    </row>
    <row r="392" spans="2:4" ht="15.75" thickBot="1" x14ac:dyDescent="0.3">
      <c r="B392" s="1"/>
      <c r="C392" s="1"/>
      <c r="D392" s="1"/>
    </row>
    <row r="393" spans="2:4" ht="15.75" thickBot="1" x14ac:dyDescent="0.3">
      <c r="B393" s="1"/>
      <c r="C393" s="1"/>
      <c r="D393" s="1"/>
    </row>
    <row r="394" spans="2:4" ht="15.75" thickBot="1" x14ac:dyDescent="0.3">
      <c r="B394" s="1"/>
      <c r="C394" s="1"/>
      <c r="D394" s="1"/>
    </row>
    <row r="395" spans="2:4" ht="15.75" thickBot="1" x14ac:dyDescent="0.3">
      <c r="B395" s="1"/>
      <c r="C395" s="1"/>
      <c r="D395" s="1"/>
    </row>
    <row r="396" spans="2:4" ht="15.75" thickBot="1" x14ac:dyDescent="0.3">
      <c r="B396" s="1"/>
      <c r="C396" s="1"/>
      <c r="D396" s="1"/>
    </row>
    <row r="397" spans="2:4" ht="15.75" thickBot="1" x14ac:dyDescent="0.3">
      <c r="B397" s="1"/>
      <c r="C397" s="2"/>
      <c r="D397" s="2"/>
    </row>
    <row r="398" spans="2:4" ht="15.75" thickBot="1" x14ac:dyDescent="0.3">
      <c r="B398" s="3"/>
      <c r="C398" s="28" t="s">
        <v>30</v>
      </c>
      <c r="D398" s="28" t="s">
        <v>31</v>
      </c>
    </row>
    <row r="399" spans="2:4" ht="15.75" thickBot="1" x14ac:dyDescent="0.3">
      <c r="B399" s="3"/>
      <c r="C399" s="24" t="s">
        <v>1</v>
      </c>
      <c r="D399" s="30">
        <v>18</v>
      </c>
    </row>
    <row r="400" spans="2:4" ht="15.75" thickBot="1" x14ac:dyDescent="0.3">
      <c r="B400" s="3"/>
      <c r="C400" s="24" t="s">
        <v>17</v>
      </c>
      <c r="D400" s="30">
        <v>13</v>
      </c>
    </row>
    <row r="401" spans="2:4" ht="15.75" thickBot="1" x14ac:dyDescent="0.3">
      <c r="B401" s="3"/>
      <c r="C401" s="24" t="s">
        <v>35</v>
      </c>
      <c r="D401" s="30">
        <v>7</v>
      </c>
    </row>
    <row r="402" spans="2:4" ht="15.75" thickBot="1" x14ac:dyDescent="0.3">
      <c r="B402" s="3"/>
      <c r="C402" s="24" t="s">
        <v>37</v>
      </c>
      <c r="D402" s="30">
        <v>8</v>
      </c>
    </row>
    <row r="403" spans="2:4" ht="15.75" thickBot="1" x14ac:dyDescent="0.3">
      <c r="B403" s="3"/>
      <c r="C403" s="24" t="s">
        <v>39</v>
      </c>
      <c r="D403" s="30">
        <v>0</v>
      </c>
    </row>
    <row r="404" spans="2:4" ht="15.75" thickBot="1" x14ac:dyDescent="0.3">
      <c r="B404" s="3"/>
      <c r="C404" s="24" t="s">
        <v>14</v>
      </c>
      <c r="D404" s="30">
        <v>2</v>
      </c>
    </row>
    <row r="405" spans="2:4" ht="15.75" thickBot="1" x14ac:dyDescent="0.3">
      <c r="B405" s="3"/>
      <c r="C405" s="24" t="s">
        <v>15</v>
      </c>
      <c r="D405" s="30">
        <v>0</v>
      </c>
    </row>
    <row r="406" spans="2:4" ht="15.75" thickBot="1" x14ac:dyDescent="0.3">
      <c r="B406" s="3"/>
      <c r="C406" s="28" t="s">
        <v>16</v>
      </c>
      <c r="D406" s="33">
        <v>48</v>
      </c>
    </row>
    <row r="407" spans="2:4" ht="15.75" thickBot="1" x14ac:dyDescent="0.3">
      <c r="B407" s="1"/>
      <c r="C407" s="1"/>
      <c r="D407" s="1"/>
    </row>
    <row r="408" spans="2:4" ht="15.75" thickBot="1" x14ac:dyDescent="0.3">
      <c r="B408" s="1"/>
      <c r="C408" s="1"/>
      <c r="D408" s="1"/>
    </row>
    <row r="409" spans="2:4" ht="15.75" thickBot="1" x14ac:dyDescent="0.3">
      <c r="B409" s="1"/>
      <c r="C409" s="1"/>
      <c r="D409" s="1"/>
    </row>
    <row r="410" spans="2:4" ht="15.75" thickBot="1" x14ac:dyDescent="0.3">
      <c r="B410" s="1"/>
      <c r="C410" s="1"/>
      <c r="D410" s="1"/>
    </row>
    <row r="411" spans="2:4" ht="15.75" thickBot="1" x14ac:dyDescent="0.3">
      <c r="B411" s="1"/>
      <c r="C411" s="1"/>
      <c r="D411" s="1"/>
    </row>
    <row r="412" spans="2:4" ht="15.75" thickBot="1" x14ac:dyDescent="0.3">
      <c r="B412" s="1"/>
      <c r="C412" s="1"/>
      <c r="D412" s="1"/>
    </row>
    <row r="413" spans="2:4" ht="15.75" thickBot="1" x14ac:dyDescent="0.3">
      <c r="B413" s="1"/>
      <c r="C413" s="1"/>
      <c r="D413" s="1"/>
    </row>
    <row r="414" spans="2:4" ht="15.75" thickBot="1" x14ac:dyDescent="0.3">
      <c r="B414" s="1"/>
      <c r="C414" s="1"/>
      <c r="D414" s="1"/>
    </row>
    <row r="415" spans="2:4" ht="15.75" thickBot="1" x14ac:dyDescent="0.3">
      <c r="B415" s="1"/>
      <c r="C415" s="2"/>
      <c r="D415" s="2"/>
    </row>
    <row r="416" spans="2:4" ht="30.75" thickBot="1" x14ac:dyDescent="0.3">
      <c r="B416" s="3"/>
      <c r="C416" s="28" t="s">
        <v>42</v>
      </c>
      <c r="D416" s="28" t="s">
        <v>43</v>
      </c>
    </row>
    <row r="417" spans="2:4" ht="15.75" thickBot="1" x14ac:dyDescent="0.3">
      <c r="B417" s="3"/>
      <c r="C417" s="24" t="s">
        <v>44</v>
      </c>
      <c r="D417" s="30">
        <v>18</v>
      </c>
    </row>
    <row r="418" spans="2:4" ht="15.75" thickBot="1" x14ac:dyDescent="0.3">
      <c r="B418" s="3"/>
      <c r="C418" s="24" t="s">
        <v>45</v>
      </c>
      <c r="D418" s="30">
        <v>16</v>
      </c>
    </row>
    <row r="419" spans="2:4" ht="15.75" thickBot="1" x14ac:dyDescent="0.3">
      <c r="B419" s="3"/>
      <c r="C419" s="24" t="s">
        <v>46</v>
      </c>
      <c r="D419" s="30">
        <v>25</v>
      </c>
    </row>
    <row r="420" spans="2:4" ht="30.75" thickBot="1" x14ac:dyDescent="0.3">
      <c r="B420" s="3"/>
      <c r="C420" s="24" t="s">
        <v>47</v>
      </c>
      <c r="D420" s="30">
        <v>16</v>
      </c>
    </row>
    <row r="421" spans="2:4" ht="30.75" thickBot="1" x14ac:dyDescent="0.3">
      <c r="B421" s="3"/>
      <c r="C421" s="24" t="s">
        <v>48</v>
      </c>
      <c r="D421" s="30">
        <v>2</v>
      </c>
    </row>
    <row r="422" spans="2:4" ht="15.75" thickBot="1" x14ac:dyDescent="0.3">
      <c r="B422" s="3"/>
      <c r="C422" s="34" t="s">
        <v>49</v>
      </c>
      <c r="D422" s="30">
        <v>4</v>
      </c>
    </row>
    <row r="423" spans="2:4" ht="15.75" thickBot="1" x14ac:dyDescent="0.3">
      <c r="B423" s="3"/>
      <c r="C423" s="28" t="s">
        <v>16</v>
      </c>
      <c r="D423" s="35">
        <v>81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69C2A-7B04-4FDC-8CCB-5F53D243C406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tablas JULIO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 Davison</dc:creator>
  <cp:lastModifiedBy>Anastasia Davison A. (HSC)</cp:lastModifiedBy>
  <dcterms:created xsi:type="dcterms:W3CDTF">2023-07-04T14:04:15Z</dcterms:created>
  <dcterms:modified xsi:type="dcterms:W3CDTF">2023-08-02T19:03:07Z</dcterms:modified>
</cp:coreProperties>
</file>